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_FisicaModerna\proyecto_IoT\"/>
    </mc:Choice>
  </mc:AlternateContent>
  <bookViews>
    <workbookView xWindow="0" yWindow="0" windowWidth="21570" windowHeight="12315" firstSheet="2" activeTab="4"/>
  </bookViews>
  <sheets>
    <sheet name="Matriz_Principal" sheetId="1" r:id="rId1"/>
    <sheet name="Enlaces_Compras_Recomendadas" sheetId="4" r:id="rId2"/>
    <sheet name="Comparativa_Mejoras" sheetId="2" r:id="rId3"/>
    <sheet name="Canasta_Cyber_Optimizada" sheetId="3" r:id="rId4"/>
    <sheet name="Analisis_Faltantes_v1.1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" i="1" l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<sst xmlns="http://schemas.openxmlformats.org/spreadsheetml/2006/main" count="772" uniqueCount="344">
  <si>
    <t>ID</t>
  </si>
  <si>
    <t>Categoria</t>
  </si>
  <si>
    <t>Tipo</t>
  </si>
  <si>
    <t>Producto</t>
  </si>
  <si>
    <t>Descripcion Tecnica de la Pieza</t>
  </si>
  <si>
    <t>Proyecto / Laboratorio en que se usara</t>
  </si>
  <si>
    <t>Prioridad</t>
  </si>
  <si>
    <t>SMDByte (CLP)</t>
  </si>
  <si>
    <t>MCI Electronics (CLP)</t>
  </si>
  <si>
    <t>Mechatronic Store (CLP)</t>
  </si>
  <si>
    <t>AFEL (CLP)</t>
  </si>
  <si>
    <t>Victronics (CLP)</t>
  </si>
  <si>
    <t>Precio Normal Ref (CLP)</t>
  </si>
  <si>
    <t>Precio Actualizado Cyber (CLP)</t>
  </si>
  <si>
    <t>% Ahorro Cyber</t>
  </si>
  <si>
    <t>Proveedor Sugerido / Mejor Opcion</t>
  </si>
  <si>
    <t>Link al Producto</t>
  </si>
  <si>
    <t>Microcontroladores</t>
  </si>
  <si>
    <t>Base Original</t>
  </si>
  <si>
    <t>ESP32-S3 N16R8 (44 pines, USB-C)</t>
  </si>
  <si>
    <t>Microcontrolador Xtensa dual-core 32-bit LX7 @ 240MHz, 16MB Flash Quad SPI, 8MB Octal PSRAM, 44 pines GPIO expuestos, USB-C nativo con soporte JTAG/CDC e instrucciones vectoriales para IA/DSP.</t>
  </si>
  <si>
    <t>Lab Principal: Adquisicion cientifica, muestreo de sensores, procesamiento digital, filtros y comunicacion USB/WiFi/BLE con Python/Jupyter.</t>
  </si>
  <si>
    <t>Nivel 1 - Imprescindible</t>
  </si>
  <si>
    <t>SMDByte / MCI / Mercado Libre</t>
  </si>
  <si>
    <t>Ver en MCI Electronics</t>
  </si>
  <si>
    <t>Seeed Studio XIAO ESP32-S3 Sense</t>
  </si>
  <si>
    <t>Placa ultra pequena (21x17.5mm), ESP32-S3 dual-core, 8MB Flash, 8MB PSRAM, incluye modulo con camara OV2640 de 2MP, ranura MicroSD y microfono digital MEMS.</t>
  </si>
  <si>
    <t>Extension Vision Artificial: Adquisicion optica de posicion x(t) mediante tracking de marcadores para correlacionar con aceleracion inercial a(t).</t>
  </si>
  <si>
    <t>Nivel 3 - Extension</t>
  </si>
  <si>
    <t>MCI Electronics / MechatronicStore</t>
  </si>
  <si>
    <t>Ver en MechatronicStore</t>
  </si>
  <si>
    <t>ESP32 DevKit 30P (ESP-WROOM-32)</t>
  </si>
  <si>
    <t>Placa de desarrollo clasica ESP32 de 30 pines con microcontrolador Xtensa dual-core @ 240MHz, 4MB Flash, Wi-Fi b/g/n, Bluetooth 4.2 BLE, regulador AMS1117-3.3V y conversor USB-UART CP2102.</t>
  </si>
  <si>
    <t>Prototipos secundarios, calibracion aislada de perifericos y pruebas de codigo sin exponer la placa S3 principal.</t>
  </si>
  <si>
    <t>SMDByte / MechatronicStore</t>
  </si>
  <si>
    <t>ESP32-C3 Super Mini</t>
  </si>
  <si>
    <t>Placa ultra compacta basada en arquitectura RISC-V mononucleo de 32 bits @ 160MHz, 4MB Flash, 400KB SRAM, Wi-Fi 4 y Bluetooth 5 (LE), interfaz USB-C nativa y bajo consumo de energia.</t>
  </si>
  <si>
    <t>Nodos secundarios portatiles de adquisicion inalambrica, balizas sismograficas auxiliares y telemetria remota.</t>
  </si>
  <si>
    <t>Sensores</t>
  </si>
  <si>
    <t>Sensor IMU 6-DOF MPU6050 (Modulo GY-521)</t>
  </si>
  <si>
    <t>Acelerometro triaxial (+/-2g/4g/8g/16g) y giroscopo de 3 ejes (+/-250 a +/-2000 deg/s) con conversor ADC de 16 bits interno, bus I2C (direccion 0x68/0x69) y regulador de 3.3V integrado.</t>
  </si>
  <si>
    <t>Lab Vibraciones y Sismografo: Medicion de series temporales de aceleracion a(t), filtrado digital y FFT para hallar frecuencias dominantes y resonancia.</t>
  </si>
  <si>
    <t>Victronics (mejor precio) / MechatronicStore</t>
  </si>
  <si>
    <t>Mejora Sugerida</t>
  </si>
  <si>
    <t>Acelerometro Digital ADXL345 (Modulo GY-291)</t>
  </si>
  <si>
    <t>Acelerometro triaxial de alta resolucion instrumental (13 bits, resolucion fija 4 mg/LSB hasta +/-16g), interfaz SPI (hasta 5MHz) e I2C, tasa de muestreo de hasta 3200 Hz y muy bajo ruido en reposo.</t>
  </si>
  <si>
    <t>Mejora Lab Vibraciones: Medicion mecanica sin el ruido de deriva ni los problemas de clones del MPU6050; ideal para FFT de vibraciones de hasta 1.6 kHz.</t>
  </si>
  <si>
    <t>Nivel 1 - Imprescindible (Recomendado)</t>
  </si>
  <si>
    <t>MechatronicStore / MCI</t>
  </si>
  <si>
    <t>Modulo ADC 16-Bit ADS1115 (4 Canales con PGA)</t>
  </si>
  <si>
    <t>Convertidor analogico-digital de precision de 16 bits con amplificador de ganancia programable (PGA hasta 16x), interfaz I2C con 4 direcciones seleccionables, comparador y tasa de hasta 860 SPS.</t>
  </si>
  <si>
    <t>Mejora Lab Adquisicion Cientifica: Resuelve la grave no-linealidad y ruido del ADC interno del ESP32. Indispensable para fisica moderna (curvas I-V, efecto fotoelectrico, etc.).</t>
  </si>
  <si>
    <t>Sensor Optico Ranurado / Fotopuerta LM393</t>
  </si>
  <si>
    <t>Modulo detector de paso por infrarrojo con ranura de 5mm, sensor optoelectronico y comparador de alta velocidad LM393 con salida digital pura (LOW/HIGH) y LED de estado.</t>
  </si>
  <si>
    <t>Lab Fisica Moderna / Mecanica: Cronometraje digital de precision para pendulos fisicos, velocidad angular, periodo de oscilacion y disparo sincronizado (trigger).</t>
  </si>
  <si>
    <t>Nivel 2 - Muy Recomendable</t>
  </si>
  <si>
    <t>MechatronicStore / AFEL</t>
  </si>
  <si>
    <t>Driver MOSFET PWM / Excitador de Vibraciones</t>
  </si>
  <si>
    <t>Modulo de potencia con transistor MOSFET de nivel logico (IRF520 / D4184), soporta hasta 24V / 5A mediante control PWM de 3.3V/5V del microcontrolador con aislamiento y diodo flyback.</t>
  </si>
  <si>
    <t>Lab Resonancia Mecanica: Excitador forzado activo del sistema fisico (permite generar barridos de frecuencia sinusoidal/PWM para medir curvas de resonancia y amortiguamiento).</t>
  </si>
  <si>
    <t>Visualizacion</t>
  </si>
  <si>
    <t>Pantalla OLED 0.96 pulg I2C (SSD1306, 128x64)</t>
  </si>
  <si>
    <t>Pantalla grafica OLED monocromatica de 0.96 pulgadas, resolucion 128x64 pixeles, controlador SSD1306, comunicacion I2C (4 pines: VCC, GND, SCL, SDA), contraste autoiluminado y bajo consumo.</t>
  </si>
  <si>
    <t>Visualizacion local autonoma: Muestra frecuencia de oscilacion (Hz), aceleracion maxima y estado de calibracion en tiempo real sin conectar a PC.</t>
  </si>
  <si>
    <t>Pantalla Color TFT IPS 2.0 pulg SPI ST7789 (240x320)</t>
  </si>
  <si>
    <t>Pantalla grafica TFT LCD IPS a todo color de 2.0 pulgadas, resolucion 240x320 pixeles, interfaz SPI de alta velocidad (hasta 40MHz con ESP32-S3), angulo de vision amplio de 178 grados y colores RGB 65K.</t>
  </si>
  <si>
    <t>Mejora Interfaz Cientifica: Graficos a color en tiempo real de formas de onda (modo osciloscopio) y barras de espectro FFT con resolucion 8 veces superior al OLED.</t>
  </si>
  <si>
    <t>Almacenamiento</t>
  </si>
  <si>
    <t>Modulo Lector de Tarjetas MicroSD SPI</t>
  </si>
  <si>
    <t>Modulo adaptador MicroSD con zocalo push-push, interfaz de comunicacion SPI de 6 pines, regulador de voltaje a 3.3V y desplazador de niveles logicos compatible con FAT16/FAT32.</t>
  </si>
  <si>
    <t>Datalogger autonomo: Registro a alta frecuencia de series de tiempo completas de vibracion y experimentos de larga duracion para posprocesamiento en Python/Pandas.</t>
  </si>
  <si>
    <t>Circuitos Analogicos</t>
  </si>
  <si>
    <t>Amplificador Operacional Dual LM358 (DIP-8)</t>
  </si>
  <si>
    <t>Circuito integrado analogico con dos operacionales independientes compensados internamente, rango de alimentacion simple de 3V a 32V, ganancia DC 100dB, apto para protoboard.</t>
  </si>
  <si>
    <t>Acondicionamiento analogico de sensores: Preamplificacion de senales debiles, filtros pasa-bajos activos y comparadores de umbral para el laboratorio.</t>
  </si>
  <si>
    <t>Victronics / SMDByte / MechatronicStore</t>
  </si>
  <si>
    <t>Potencia</t>
  </si>
  <si>
    <t>Regulador Reductor DC-DC LM2596 (Step-Down)</t>
  </si>
  <si>
    <t>Modulo convertidor reductor conmutado ajustable, voltaje de entrada 4.5V a 40V, voltaje de salida 1.25V a 35V, corriente continua de hasta 2A (3A con disipador), eficiencia tipica &gt;85%.</t>
  </si>
  <si>
    <t>Alimentacion del laboratorio: Proporciona 5V estables a partir de fuentes de banco de 9V/12V para alimentar la placa ESP32, actuadores y pantallas.</t>
  </si>
  <si>
    <t>MechatronicStore / SMDByte</t>
  </si>
  <si>
    <t>Cargador Li-Ion TP4056 USB-C con Proteccion</t>
  </si>
  <si>
    <t>Modulo cargador para celdas de litio 18650/LiPo (3.7V/4.2V) con conector USB-C, regulador lineal de carga de 1A e integrado de proteccion DW01A contra sobredescarga y sobrecorriente.</t>
  </si>
  <si>
    <t>Alimentacion limpia e inalambrica: Permite operar el sismografo y la adquisicion cientifica con bateria pura, eliminando el ruido de 50Hz de la red electrica.</t>
  </si>
  <si>
    <t>Componentes Pasivos</t>
  </si>
  <si>
    <t>Kit de Resistencias 1/4W 1% (600 piezas)</t>
  </si>
  <si>
    <t>Surtido organizado de 600 resistencias de pelicula metalica de alta precision (tolerancia +/-1%), 30 valores estandar entre 10 Ohm y 1 MOhm (20 unidades de cada valor).</t>
  </si>
  <si>
    <t>Banco de prototipado general: Resistencias pull-up/pull-down para buses I2C y SPI, divisores de tension analogicos y polarizacion de transistores.</t>
  </si>
  <si>
    <t>Kit de Capacitores Ceramicos (100 piezas)</t>
  </si>
  <si>
    <t>Surtido de 100 condensadores ceramicos de disco/multicapa a 50V con 10 valores comunes (10pF, 22pF, 100pF, 1nF, 10nF, 100nF / 0.1uF, etc.), paso 2.54mm.</t>
  </si>
  <si>
    <t>Filtrado y desacoplo de alta frecuencia en los rieles de alimentacion de sensores analogicos y digitales para reducir ruido electrico.</t>
  </si>
  <si>
    <t>Prototipado</t>
  </si>
  <si>
    <t>Cables de Conexion Dupont 20cm (60 unidades)</t>
  </si>
  <si>
    <t>Juego mixto de cables flexibles multifilares con conectores Dupont estandar de 2.54mm en configuraciones Macho-Macho, Macho-Hembra y Hembra-Hembra.</t>
  </si>
  <si>
    <t>Cableado rapido entre el ESP32-S3, sensores en protoboard, tarjeta microSD, pantallas y analizador logico.</t>
  </si>
  <si>
    <t>Protoboard de 830 Puntos (MB-102)</t>
  </si>
  <si>
    <t>Placa de pruebas sin soldadura con 830 orificios de contacto, dos lineas de distribucion de voltaje laterales, carcasa plastica ABS y contactos de bronce fosforado niquelado.</t>
  </si>
  <si>
    <t>Armado rapido y validacion preliminar de todos los montajes de sensores, acondicionamiento y comunicacion antes del ensamblado definitivo.</t>
  </si>
  <si>
    <t>Pack Placas Perforadas PCB FR4 (4 unidades)</t>
  </si>
  <si>
    <t>Juego de 4 placas universales de baquelita/fibra de vidrio estanadas doble cara con taladros metalizados de paso 2.54mm en tamanos surtidos (2x8cm, 3x7cm, 4x6cm, 5x7cm).</t>
  </si>
  <si>
    <t>Soldadura de escudos (shields) de instrumentacion definitiva y soportes rigidos para los sensores de vibracion (evita vibraciones parasitas del protoboard).</t>
  </si>
  <si>
    <t>Pulsadores Tactiles con Tapas (10 unidades)</t>
  </si>
  <si>
    <t>Microinterruptores pulsadores tipo microswitch de 6x6x5mm de 4 pines SPST momentaneos compatibles con protoboard, incluye tapas plasticas de colores.</t>
  </si>
  <si>
    <t>Control manual de inicio/parada de experimentos, tara (cero) del acelerometro y cambio de modo de visualizacion en la pantalla.</t>
  </si>
  <si>
    <t>Instrumentacion</t>
  </si>
  <si>
    <t>Analizador Logico USB 8 Canales 24MHz</t>
  </si>
  <si>
    <t>Dispositivo de captura digital USB con 8 canales logicos simultaneos a 24 MS/s, buffer por streaming continuo, 100% compatible con software libre PulseView y Sigrok (decodifica I2C, SPI, UART, PWM).</t>
  </si>
  <si>
    <t>Diagnostico e instrumentacion digital: Verificacion de tramas I2C del sensor de aceleracion, confirmacion de tasa de muestreo real y analisis de temporizacion/jitter.</t>
  </si>
  <si>
    <t>Multimetro Digital (MAS-830L)</t>
  </si>
  <si>
    <t>Instrumento de medicion digital para voltaje DC/AC hasta 600V, corriente DC hasta 10A, resistencia hasta 2MOhm, prueba de diodos, buzzer de continuidad audible y pantalla retroiluminada.</t>
  </si>
  <si>
    <t>Verificacion de voltajes de alimentacion de 3.3V y 5V, deteccion de cortocircuitos en protoboard y comprobacion de continuidad de cableados.</t>
  </si>
  <si>
    <t>Herramientas</t>
  </si>
  <si>
    <t>Kit Cautin Soldador 60W con Temperatura Regulable</t>
  </si>
  <si>
    <t>Kit de soldador de 60W con dial de temperatura ajustable de 200C a 450C, puntas intercambiables serie 900M, soporte metalico y esponja para limpieza termica.</t>
  </si>
  <si>
    <t>Soldadura de pines header en modulos de sensores, microcontroladores ESP32 y confeccion de placas definitivas de laboratorio.</t>
  </si>
  <si>
    <t>Estano para Soldar 60/40 de 0.8mm (con Flux)</t>
  </si>
  <si>
    <t>Alambre de soldadura con aleacion de alta calidad 60% estano / 40% plomo, diametro 0.8mm, con alma de fundente de resina no corrosivo para flujo suave y uniones brillantes.</t>
  </si>
  <si>
    <t>Union electrica de componentes electronicos y modulos en el laboratorio con bajo punto de fusion.</t>
  </si>
  <si>
    <t>MechatronicStore / Victronics</t>
  </si>
  <si>
    <t>Pasta para Soldar Flux en Jeringa</t>
  </si>
  <si>
    <t>Fundente activo de resina en pasta para eliminar oxidos, mejorar la mojabilidad de las pistas de cobre y prevenir puentes indeseados de estano en soldaduras de precision.</t>
  </si>
  <si>
    <t>Soldadura y retrabajo de pines SMD y regletas de espadines en las placas del proyecto.</t>
  </si>
  <si>
    <t>Juego de Pinzas Antiestaticas de Precision ESD (x2)</t>
  </si>
  <si>
    <t>Juego de pinzas de acero inoxidable no magneticas con tratamiento antiestatico ESD y puntas de precision recta y curva (ESD-11 / ESD-15).</t>
  </si>
  <si>
    <t>Manipulacion precisa de pequenos componentes electronicos pasivos, jumpers e hilos finos durante el armado.</t>
  </si>
  <si>
    <t>Alicate Cortador al Ras (Plato 170)</t>
  </si>
  <si>
    <t>Alicate de corte diagonal de precision al ras con cuchillas tratadas termicamente para corte limpio de terminales de cobre de hasta 1mm y patas de componentes soldados.</t>
  </si>
  <si>
    <t>Corte limpio al ras de terminales en placas perforadas y preparacion de cables de conexion.</t>
  </si>
  <si>
    <t>Pelacables Manual de Precision AWG 20-30</t>
  </si>
  <si>
    <t>Herramienta pelacables con muescas calibradas para calibres delgados estandar de electronica (AWG 20 a 30) y resortes de apertura automatica.</t>
  </si>
  <si>
    <t>Pelado seguro y rapido del aislamiento de cables de senal sin cortar los filamentos de cobre internos.</t>
  </si>
  <si>
    <t>Bomba Desoldadora por Succion (Extractor Estano)</t>
  </si>
  <si>
    <t>Extractor manual de estano mediante embolo de vacio accionado por resorte con boquilla de teflon resistente al calor.</t>
  </si>
  <si>
    <t>Retiro rapido de estano fundido en reparaciones, correccion de errores de conexionado y reciclaje de modulos.</t>
  </si>
  <si>
    <t>Malla Desoldadora de Cobre Trenzado (2.0mm)</t>
  </si>
  <si>
    <t>Malla de hilos ultrafinos de cobre puro desoxigenado impregnada con flux, ancho de 2.0mm, longitud 1.5m para absorcion de soldadura por capilaridad.</t>
  </si>
  <si>
    <t>Limpieza final de pistas de circuito impreso y eliminacion de puentes de estano entre pines adyacentes.</t>
  </si>
  <si>
    <t>Soporte Tercera Mano con Lupa y Pinzas Cocodrilo</t>
  </si>
  <si>
    <t>Soporte de trabajo con base pesada de fundicion, articulaciones orientables con pinzas de cocodrilo y lente de aumento de 2.5X.</t>
  </si>
  <si>
    <t>Sujecion fija y segura de placas de sensores y cables durante el soldado en el banco de trabajo.</t>
  </si>
  <si>
    <t>Juego de Destornilladores de Precision (Set 25 en 1)</t>
  </si>
  <si>
    <t>Kit compacto con mango magnetico ergonomico de aleacion de aluminio y 24 puntas de acero cromo-vanadio (Phillips, Plano, Torx, Hexagonal).</t>
  </si>
  <si>
    <t>Montaje mecanico de sensores sobre estructuras de vibracion, fijacion de soportes y ensamblado de gabinetes.</t>
  </si>
  <si>
    <t>Lampara con Lupa LED de Mesa con Brazo Flexible</t>
  </si>
  <si>
    <t>Lampara de aumento de escritorio con lente optico de 3X/5X, iluminacion LED anular de brillo graduable via USB y mordaza de sujecion firme.</t>
  </si>
  <si>
    <t>Inspeccion visual minuciosa de soldaduras finas, marcado de componentes SMD e identificacion de fisuras en pistas.</t>
  </si>
  <si>
    <t>Caja Organizadora de Componentes Plastica</t>
  </si>
  <si>
    <t>Caja organizadora plastica transparente con compartimentos ajustables y cierres de seguridad para piezas pequenas.</t>
  </si>
  <si>
    <t>Almacenamiento clasificado de resistencias, capacitores, sensores y microcontroladores para el laboratorio.</t>
  </si>
  <si>
    <t>Subsistema / Funcion</t>
  </si>
  <si>
    <t>Componente Actual en MD</t>
  </si>
  <si>
    <t>Alternativa Superior Recomendada</t>
  </si>
  <si>
    <t>Limitacion Critica del Componente Actual</t>
  </si>
  <si>
    <t>Ventajas Tecnicas de la Alternativa</t>
  </si>
  <si>
    <t>Impacto en Fisica Moderna / Adquisicion</t>
  </si>
  <si>
    <t>Diferencia Precio Est.</t>
  </si>
  <si>
    <t>Recomendacion Final</t>
  </si>
  <si>
    <t>Enlace de Compra Alternativa</t>
  </si>
  <si>
    <t>Adquisicion de Vibraciones</t>
  </si>
  <si>
    <t>MPU6050 (GY-521)</t>
  </si>
  <si>
    <t>ADXL345 (GY-291) o LSM6DS3</t>
  </si>
  <si>
    <t>Descontinuado oficialmente por InvenSense; alto ruido de fondo, presencia masiva de clones de baja fidelidad en el mercado local, ancho de banda efectivo limitado a ~260Hz.</t>
  </si>
  <si>
    <t>ADXL345: Calidad instrumental Analog Devices, resolucion seleccionable de 13 bits (4 mg/LSB fija), bus SPI veloz de hasta 3200 Hz ODR. LSM6DS3: Muestreo de hasta 6.6 kHz con FIFO de 3KB.</t>
  </si>
  <si>
    <t>Permite calcular espectros FFT de resonancia mecanica y sismografia sin distorsion de ruido ni perdida de muestras por interrupciones Wi-Fi.</t>
  </si>
  <si>
    <t>Similar o mas economico (-.000 a +.500 CLP)</t>
  </si>
  <si>
    <t>Adoptar ADXL345 como sensor primario de vibraciones mecanicas y sismografia.</t>
  </si>
  <si>
    <t>ADXL345 en MechatronicStore</t>
  </si>
  <si>
    <t>Digitalizacion Analogica (ADC)</t>
  </si>
  <si>
    <t>ADC Interno del ESP32-S3 (12 bits)</t>
  </si>
  <si>
    <t>Modulo ADC 16-Bit ADS1115 (I2C con PGA)</t>
  </si>
  <si>
    <t>Grave no-linealidad en extremos (&lt;0.15V y &gt;3.1V), ruido termico sustancial y resolucion efectiva real (ENOB) de apenas ~9 bits.</t>
  </si>
  <si>
    <t>16 bits reales (65.536 cuentas), amplificador de ganancia programable (PGA 1x a 16x) para microvoltios, 4 canales independientes o 2 diferenciales de precision.</t>
  </si>
  <si>
    <t>Crucial para experimentos de fisica moderna: efecto fotoelectrico, curvas I-V de diodos, decaimiento RC/RLC y termocuplas.</t>
  </si>
  <si>
    <t>+.290 a .990 CLP</t>
  </si>
  <si>
    <t>Imprescindible incorporar para un laboratorio de adquisicion verdaderamente cientifico.</t>
  </si>
  <si>
    <t>ADS1115 en MCI Electronics</t>
  </si>
  <si>
    <t>Sistema de Excitacion Mecanica</t>
  </si>
  <si>
    <t>No contemplado en lista original</t>
  </si>
  <si>
    <t>Driver MOSFET PWM + Mini Motor Excentrico o Generador DDS AD9833</t>
  </si>
  <si>
    <t>La lista solo incluye sensores (receptores). No hay ningun actuador para forzar la oscilacion y estudiar la resonancia fisica del sistema.</t>
  </si>
  <si>
    <t>Permite barridos de frecuencia automaticos (Chirp / Frequency Sweep) controlados desde Python para graficar la curva de transferencia H(f) y factor de calidad Q.</t>
  </si>
  <si>
    <t>Convierte el montaje de un sismografo pasivo en un laboratorio completo de dinamica estructural y resonancia forzada.</t>
  </si>
  <si>
    <t>+.490 (MOSFET) a +.990 (DDS AD9833)</t>
  </si>
  <si>
    <t>Agregar al menos el driver MOSFET con mini motor de vibracion al presupuesto.</t>
  </si>
  <si>
    <t>Driver MOSFET en MechatronicStore</t>
  </si>
  <si>
    <t>Acondicionamiento Analogico</t>
  </si>
  <si>
    <t>LM358 Clasico</t>
  </si>
  <si>
    <t>MCP6002 Rail-to-Rail o Modulo HX711</t>
  </si>
  <si>
    <t>No es Rail-to-Rail a 3.3V (satura antes de alcanzar VCC), presenta distorsion de cruce en pequena senal y alto voltaje de offset (hasta 3-5 mV).</t>
  </si>
  <si>
    <t>MCP6002: Salida y entrada Rail-to-Rail reales a 3.3V, ultra bajo offset y ancho de banda limpio. HX711: ADC de 24 bits para galgas de deformacion.</t>
  </si>
  <si>
    <t>Garantiza amplificacion sin recorte de senales debiles de sensores alimentados a 3.3V desde el ESP32.</t>
  </si>
  <si>
    <t>+.000 a .500 CLP</t>
  </si>
  <si>
    <t>Usar MCP6002 o acondicionadores especificos para instrumentacion diferencial.</t>
  </si>
  <si>
    <t>Catalogo MCI Electronics</t>
  </si>
  <si>
    <t>Pantalla y Visualizacion</t>
  </si>
  <si>
    <t>OLED 0.96 pulg SSD1306 (128x64 Mono)</t>
  </si>
  <si>
    <t>Pantalla TFT IPS ST7789 2.0 pulg (240x320 Color)</t>
  </si>
  <si>
    <t>Area de visualizacion minuscula (0.96 pulgadas, monocromo); no permite graficar simultaneamente la serie temporal y las barras del espectro FFT.</t>
  </si>
  <si>
    <t>8 veces mas pixeles, colores RGB completos, angulo de vision IPS de 178 grados y comunicacion SPI veloz por hardware.</t>
  </si>
  <si>
    <t>Permite crear un mini osciloscopio y analizador de espectro grafico de bolsillo para el laboratorio.</t>
  </si>
  <si>
    <t>Muy recomendable para la segunda etapa o como mejora directa del panel local.</t>
  </si>
  <si>
    <t>ST7789 en MechatronicStore</t>
  </si>
  <si>
    <t>Filtrado de Alimentacion</t>
  </si>
  <si>
    <t>LM2596 Conmutado Directo</t>
  </si>
  <si>
    <t>LM2596 + Filtro LC o Bateria 18650 via TP4056</t>
  </si>
  <si>
    <t>El convertidor LM2596 conmuta a 150kHz y genera un rizado (ripple) de 50 a 100 mVp-p que se acopla en los sensores y genera armonicos espurios en el FFT.</t>
  </si>
  <si>
    <t>Alimentar las etapas de sensado desde bateria Li-Ion aislada o agregar un regulador lineal LDO de bajo ruido post-buck.</t>
  </si>
  <si>
    <t>Piso de ruido ultra silencioso en el sismografo y mediciones analogicas limpias sin artefactos.</t>
  </si>
  <si>
    <t>+.500 CLP (bateria / LDO)</t>
  </si>
  <si>
    <t>Utilizar la celda 18650 con el cargador TP4056 para pruebas de alta sensibilidad sismica.</t>
  </si>
  <si>
    <t>TP4056 en MechatronicStore</t>
  </si>
  <si>
    <t>Instrumentacion de Medicion</t>
  </si>
  <si>
    <t>Multimetro Basico MAS-830L</t>
  </si>
  <si>
    <t>Multimetro True RMS con Frecuencimetro y Capacimetro</t>
  </si>
  <si>
    <t>Rango manual, no mide frecuencia, no mide capacitancia de los condensadores del kit y no mide valores True RMS en corriente alterna.</t>
  </si>
  <si>
    <t>Mide frecuencia digital hasta 10MHz, capacitancia de 10pF a 10mF, True RMS, rango automatico y precision muy superior.</t>
  </si>
  <si>
    <t>Permite calibrar y comprobar directamente las frecuencias de resonancia generadas y los filtros pasabajos analogicos.</t>
  </si>
  <si>
    <t>+.000 a .000 CLP</t>
  </si>
  <si>
    <t>Inversion de alta rentabilidad que rinde a lo largo de toda la formacion cientifica.</t>
  </si>
  <si>
    <t>Buscar True RMS en Mercado Libre</t>
  </si>
  <si>
    <t>ESTRATEGIA Y ESCENARIOS DE COMPRA CYBER (OPTIMIZACION DE DESPACHO EN SANTIAGO)</t>
  </si>
  <si>
    <t>Canasta calculada para consolidar el mayor volumen de items en MechatronicStore y MCI, minimizando costos de flete multiple.</t>
  </si>
  <si>
    <t>Escenario</t>
  </si>
  <si>
    <t>Items Incluidos</t>
  </si>
  <si>
    <t>Proveedor Principal</t>
  </si>
  <si>
    <t>Subtotal Productos Ref (CLP)</t>
  </si>
  <si>
    <t>Subtotal Estimado Cyber (CLP)</t>
  </si>
  <si>
    <t>Ahorro Estimado (CLP)</t>
  </si>
  <si>
    <t>Costo de Envio Santiago (CLP)</t>
  </si>
  <si>
    <t>TOTAL FINAL ESTIMADO (CLP)</t>
  </si>
  <si>
    <t>Observaciones Estrategicas</t>
  </si>
  <si>
    <t>1. Canasta Esencial Nivel 1 (Presupuesto Minimo)</t>
  </si>
  <si>
    <t>ESP32-S3 + MPU6050 + OLED 0.96 + Protoboard + Cables + Resistencias + Capacitores + Kit Cautin + Estano + Flux + Pinzas + Cortador + Analizador Logico 24MHz</t>
  </si>
  <si>
    <t>MechatronicStore + SMDByte / Victronics</t>
  </si>
  <si>
    <t>Cubre el 100% de los requerimientos indispensables para arrancar los experimentos de vibracion y adquisicion inmediata.</t>
  </si>
  <si>
    <t>2. Canasta Unificada MechatronicStore (Menor Logistica)</t>
  </si>
  <si>
    <t>Todos los componentes de herramientas, electronica base y sensores disponibles en MechatronicStore en un solo pedido consolidado.</t>
  </si>
  <si>
    <t>MechatronicStore (1 solo pedido centralizado)</t>
  </si>
  <si>
    <t>Evita pagar 3 o 4 despachos por separado (.000+ en fletes). Se complementa solo con el ESP32-S3 N16R8 en MCI o Mercado Libre.</t>
  </si>
  <si>
    <t>3. Canasta Cientifica Avanzada (Con Mejoras Clave)</t>
  </si>
  <si>
    <t>ESP32-S3 N16R8 + ADS1115 (16 bits) + ADXL345 + Driver MOSFET Excitador + OLED + MicroSD + Kit Herramientas Completo + Analizador Logico</t>
  </si>
  <si>
    <t>MechatronicStore + MCI Electronics</t>
  </si>
  <si>
    <t>Recomendada por ingenieria: Corrige la falta de excitador de resonancia y la distorsion del ADC interno, elevando el proyecto a nivel universitario.</t>
  </si>
  <si>
    <t>4. Canasta Total Ecosistema Completo (Niveles 1, 2 y 3 + Vision)</t>
  </si>
  <si>
    <t>Todo lo anterior + Seeed XIAO ESP32-S3 Sense (Camara) + ESP32-C3 Super Mini + Pantalla Color ST7789 2.0 pulg + Bateria LiPo + Cargador TP4056</t>
  </si>
  <si>
    <t>Laboratorio completo llave en mano: analisis inercial, optico simultaneo con camara y nodos IoT secundarios.</t>
  </si>
  <si>
    <t>Tienda Recomendada Principal</t>
  </si>
  <si>
    <t>Precio Ref (CLP)</t>
  </si>
  <si>
    <t>Precio Cyber (CLP)</t>
  </si>
  <si>
    <t>Enlace Directo Tienda Principal</t>
  </si>
  <si>
    <t>Tienda Alternativa (Plan B)</t>
  </si>
  <si>
    <t>Enlace Directo Alternativa</t>
  </si>
  <si>
    <t>Criterio de Seleccion y Nota Tecnica</t>
  </si>
  <si>
    <t>MCI Electronics</t>
  </si>
  <si>
    <t>Comprar en MCI Electronics</t>
  </si>
  <si>
    <t>Mercado Libre Chile</t>
  </si>
  <si>
    <t>Alternativa en Mercado Libre</t>
  </si>
  <si>
    <t>Crucial verificar SKU N16R8 (16MB Flash, 8MB PSRAM Octal). Base central del laboratorio.</t>
  </si>
  <si>
    <t>MechatronicStore</t>
  </si>
  <si>
    <t>Comprar en MechatronicStore</t>
  </si>
  <si>
    <t>Alternativa en MCI</t>
  </si>
  <si>
    <t>Incluye placa de expansion con camara OV2640 de 2MP, ranura microSD y microfono digital.</t>
  </si>
  <si>
    <t>Placa de desarrollo clasica para pruebas de actuadores y perifericos secundarios.</t>
  </si>
  <si>
    <t>ESP32-C3 Super Mini (RISC-V)</t>
  </si>
  <si>
    <t>AFEL</t>
  </si>
  <si>
    <t>Alternativa en AFEL</t>
  </si>
  <si>
    <t>Bajo consumo, arquitectura RISC-V mononucleo para nodos remotos de telemetria.</t>
  </si>
  <si>
    <t>Acelerometro y giroscopio basico I2C. Victronics cotiza mas barato si se compra presencial.</t>
  </si>
  <si>
    <t>Mejora clave para vibraciones: resolucion de 13 bits (4mg/LSB fija), bus SPI veloz de hasta 3200 Hz.</t>
  </si>
  <si>
    <t>Modulo ADC 16-Bit ADS1115 (4CH con PGA)</t>
  </si>
  <si>
    <t>Alternativa en MechatronicStore</t>
  </si>
  <si>
    <t>Mejora instrumental clave: resuelve la no-linealidad del ADC del ESP32 para curvas I-V y decaimientos.</t>
  </si>
  <si>
    <t>Cronometraje digital infrarrojo para pendulos fisicos y trigger sincronizado por hardware.</t>
  </si>
  <si>
    <t>Actuador de potencia para forzar oscilaciones mecanicas y medir curvas de resonancia forzada H(f).</t>
  </si>
  <si>
    <t>Pantalla OLED 0.96 pulg SSD1306 I2C</t>
  </si>
  <si>
    <t>Visualizacion rapida monocromatica de frecuencia dominante y estado del sistema.</t>
  </si>
  <si>
    <t>Pantalla Color TFT IPS 2.0 pulg ST7789 SPI</t>
  </si>
  <si>
    <t>240x320 pixeles a color por SPI; permite graficar oscilograma y barras FFT en vivo.</t>
  </si>
  <si>
    <t>Datalogger para registro continuo a alta frecuencia en formato FAT32.</t>
  </si>
  <si>
    <t>Victronics</t>
  </si>
  <si>
    <t>Alternativa en Victronics</t>
  </si>
  <si>
    <t>Preamplificacion y comparadores de umbral para el banco de fisica.</t>
  </si>
  <si>
    <t>Ajustable de 1.25V a 35V para alimentar actuadores y el microcontrolador desde fuentes de 12V.</t>
  </si>
  <si>
    <t>Carga de 1A con proteccion contra sobredescarga para operacion con bateria Li-Ion pura.</t>
  </si>
  <si>
    <t>30 valores de pelicula metalica al 1% de tolerancia para divisores y pull-ups.</t>
  </si>
  <si>
    <t>SMDByte</t>
  </si>
  <si>
    <t>Alternativa en SMDByte</t>
  </si>
  <si>
    <t>Desacoplo de fuentes de 3.3V y filtrado de alta frecuencia en sensores.</t>
  </si>
  <si>
    <t>MCI tiene conectores Dupont de ajuste firme que reducen desconexiones en pruebas de vibracion.</t>
  </si>
  <si>
    <t>Placa de pruebas sin soldadura con dos buses dobles de alimentacion.</t>
  </si>
  <si>
    <t>Para soldar el sensor de vibracion en base rigida, eliminando vibraciones del protoboard.</t>
  </si>
  <si>
    <t>Pulsadores de 6x6x5mm compatibles con protoboard para control y tara de acelerometro.</t>
  </si>
  <si>
    <t>100% compatible con PulseView/Sigrok para decodificar I2C, SPI y verificar temporizaciones.</t>
  </si>
  <si>
    <t>Medicion de continuidad con buzzer, voltajes de 3.3V y 5V, y deteccion de cortos.</t>
  </si>
  <si>
    <t>Kit Cautin Soldador 60W con Temp. Regulable</t>
  </si>
  <si>
    <t>Incluye soporte metalico, esponja termica y control de temperatura de 200C a 450C.</t>
  </si>
  <si>
    <t>Aleacion eutectica 60/40 con alma de fundente de resina para soldaduras brillantes y limpias.</t>
  </si>
  <si>
    <t>Facilita la union y previene puentes entre pines adyacentes de espadines y modulos.</t>
  </si>
  <si>
    <t>Juego de Pinzas Antiestaticas ESD (x2)</t>
  </si>
  <si>
    <t>Pinzas no magneticas de precision curva y recta para sujecion fina de cables y piezas.</t>
  </si>
  <si>
    <t>Corte al ras ultra afilado para terminales soldados y patas de componentes pasivos.</t>
  </si>
  <si>
    <t>Muescas calibradas para cables finos de senal sin rasgar los hilos interiores de cobre.</t>
  </si>
  <si>
    <t>Embolo de succion para retirar soldadura en correccion de errores y desmontaje de pines.</t>
  </si>
  <si>
    <t>Absorcion por capilaridad para limpiar pistas y retirar excesos de estano entre pines.</t>
  </si>
  <si>
    <t>Base de hierro fundido para inmovilizar placas y cables durante la soldadura.</t>
  </si>
  <si>
    <t>Mango magnetico de aluminio con puntas Torx, Phillips y planas para ensamblar soportes.</t>
  </si>
  <si>
    <t>Lente de aumento 3X/5X con iluminacion anular LED para inspeccion visual de pistas y SMD.</t>
  </si>
  <si>
    <t>Gavetero con compartimentos ajustables para almacenar pasivos, espadines y sensores.</t>
  </si>
  <si>
    <t>I</t>
  </si>
  <si>
    <t>t</t>
  </si>
  <si>
    <t>u</t>
  </si>
  <si>
    <t>i</t>
  </si>
  <si>
    <t>M</t>
  </si>
  <si>
    <t>a</t>
  </si>
  <si>
    <t>n</t>
  </si>
  <si>
    <t>s</t>
  </si>
  <si>
    <t>l</t>
  </si>
  <si>
    <t>e</t>
  </si>
  <si>
    <t>Verificado OK</t>
  </si>
  <si>
    <t>Busqueda fallback</t>
  </si>
  <si>
    <t>ANALISIS v1.1 - Duplicados, Placas y Componentes Faltantes</t>
  </si>
  <si>
    <t>TABLA A - ANALISIS DE DUPLICADOS</t>
  </si>
  <si>
    <t>Par de Componentes</t>
  </si>
  <si>
    <t>Son Duplicados?</t>
  </si>
  <si>
    <t>Veredicto</t>
  </si>
  <si>
    <t>TABLA B - EVALUACION DE LAS 3 PLACAS EN DUDA</t>
  </si>
  <si>
    <t>Placa</t>
  </si>
  <si>
    <t>Nivel</t>
  </si>
  <si>
    <t>Justificacion</t>
  </si>
  <si>
    <t>TABLA C - COMPONENTES FALTANTES DETECTADOS</t>
  </si>
  <si>
    <t>Componente</t>
  </si>
  <si>
    <t>Laboratorio Requerido</t>
  </si>
  <si>
    <t>Ref. CLP</t>
  </si>
  <si>
    <t>Proveedor Sugerido</t>
  </si>
  <si>
    <t>URL o Nota</t>
  </si>
  <si>
    <t>Base Original CLP</t>
  </si>
  <si>
    <t>Faltantes Nivel 1</t>
  </si>
  <si>
    <t>Faltantes Nivel 2</t>
  </si>
  <si>
    <t>TABLA D - PRESUPUESTO AJUSTADO CON COMPONENTES FALTANTES</t>
  </si>
  <si>
    <t>Escenario de Compra</t>
  </si>
  <si>
    <t>TOTAL AJUSTADO CLP</t>
  </si>
  <si>
    <t>Canasta Esencial Nivel 1</t>
  </si>
  <si>
    <t>Canasta Avanzada Nivel 1+2+3</t>
  </si>
  <si>
    <t>Estado Link v1.1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</si>
</sst>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$#,##0"/>
    <numFmt numFmtId="165" formatCode="0.0%"/>
    <numFmt numFmtId="166" formatCode="#.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A00"/>
      <name val="Calibri"/>
      <family val="2"/>
      <scheme val="minor"/>
    </font>
    <font>
      <b/>
      <sz val="13"/>
      <color rgb="FF5D361B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44CC"/>
      <name val="Calibri"/>
      <family val="2"/>
      <scheme val="minor"/>
    </font>
    <font>
      <u/>
      <sz val="11"/>
      <color rgb="FF0044CC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FAF9F8"/>
        <bgColor indexed="64"/>
      </patternFill>
    </fill>
    <fill>
      <patternFill patternType="solid">
        <fgColor rgb="FF00258B"/>
        <bgColor indexed="64"/>
      </patternFill>
    </fill>
    <fill>
      <patternFill patternType="solid">
        <fgColor rgb="FF134E27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horizontal="center" wrapText="1"/>
    </xf>
    <xf numFmtId="0" fontId="3" fillId="0" borderId="0" xfId="1" applyAlignment="1">
      <alignment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  <xf numFmtId="164" fontId="0" fillId="3" borderId="0" xfId="0" applyNumberFormat="1" applyFill="1" applyAlignment="1">
      <alignment wrapText="1"/>
    </xf>
    <xf numFmtId="165" fontId="0" fillId="3" borderId="0" xfId="0" applyNumberFormat="1" applyFill="1" applyAlignment="1">
      <alignment horizontal="center" wrapText="1"/>
    </xf>
    <xf numFmtId="0" fontId="3" fillId="3" borderId="0" xfId="1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2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right" wrapText="1"/>
    </xf>
    <xf numFmtId="164" fontId="0" fillId="3" borderId="0" xfId="0" applyNumberFormat="1" applyFill="1" applyAlignment="1">
      <alignment horizontal="right" wrapText="1"/>
    </xf>
    <xf numFmtId="0" fontId="2" fillId="6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1" applyFont="1"/>
    <xf numFmtId="0" fontId="0" fillId="7" borderId="0" xfId="0" applyFill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1" fillId="0" borderId="0" xfId="0" applyFont="1"/>
    <xf numFmtId="0" fontId="2" fillId="10" borderId="0" xfId="0" applyFont="1" applyFill="1"/>
    <xf numFmtId="0" fontId="0" fillId="7" borderId="0" xfId="0" applyFill="1"/>
    <xf numFmtId="0" fontId="2" fillId="2" borderId="0" xfId="0" applyFont="1" applyFill="1"/>
    <xf numFmtId="0" fontId="0" fillId="11" borderId="0" xfId="0" applyFill="1"/>
    <xf numFmtId="0" fontId="0" fillId="12" borderId="0" xfId="0" applyFill="1"/>
    <xf numFmtId="0" fontId="2" fillId="9" borderId="0" xfId="0" applyFont="1" applyFill="1"/>
    <xf numFmtId="0" fontId="9" fillId="9" borderId="0" xfId="0" applyFont="1" applyFill="1"/>
    <xf numFmtId="0" fontId="1" fillId="0" borderId="0" xfId="0" applyFont="1"/>
    <xf numFmtId="166" fontId="0" fillId="0" borderId="0" xfId="0" applyNumberFormat="1"/>
    <xf numFmtId="166" fontId="1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u" TargetMode="External"/><Relationship Id="rId13" Type="http://schemas.openxmlformats.org/officeDocument/2006/relationships/hyperlink" Target="s" TargetMode="External"/><Relationship Id="rId3" Type="http://schemas.openxmlformats.org/officeDocument/2006/relationships/hyperlink" Target="A" TargetMode="External"/><Relationship Id="rId7" Type="http://schemas.openxmlformats.org/officeDocument/2006/relationships/hyperlink" Target="t" TargetMode="External"/><Relationship Id="rId12" Type="http://schemas.openxmlformats.org/officeDocument/2006/relationships/hyperlink" Target="t" TargetMode="External"/><Relationship Id="rId2" Type="http://schemas.openxmlformats.org/officeDocument/2006/relationships/hyperlink" Target="https://mcielectronics.cl/shop/product/modulo-adc-conversor-analogico-digital-16-bit-ads1115/" TargetMode="External"/><Relationship Id="rId1" Type="http://schemas.openxmlformats.org/officeDocument/2006/relationships/hyperlink" Target="https://mcielectronics.cl/shop/product/esp32-s3-devkitc-1-n16r8/" TargetMode="External"/><Relationship Id="rId6" Type="http://schemas.openxmlformats.org/officeDocument/2006/relationships/hyperlink" Target="a" TargetMode="External"/><Relationship Id="rId11" Type="http://schemas.openxmlformats.org/officeDocument/2006/relationships/hyperlink" Target="r" TargetMode="External"/><Relationship Id="rId5" Type="http://schemas.openxmlformats.org/officeDocument/2006/relationships/hyperlink" Target="b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l" TargetMode="External"/><Relationship Id="rId4" Type="http://schemas.openxmlformats.org/officeDocument/2006/relationships/hyperlink" Target="3" TargetMode="External"/><Relationship Id="rId9" Type="http://schemas.openxmlformats.org/officeDocument/2006/relationships/hyperlink" Target="n" TargetMode="External"/><Relationship Id="rId14" Type="http://schemas.openxmlformats.org/officeDocument/2006/relationships/hyperlink" Target="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victronics.cl/" TargetMode="External"/><Relationship Id="rId21" Type="http://schemas.openxmlformats.org/officeDocument/2006/relationships/hyperlink" Target="https://www.mechatronicstore.cl/producto/pantalla-tft-lcd-2-0-pulgadas-spi-st7789/" TargetMode="External"/><Relationship Id="rId42" Type="http://schemas.openxmlformats.org/officeDocument/2006/relationships/hyperlink" Target="https://smdbyte.cl/" TargetMode="External"/><Relationship Id="rId47" Type="http://schemas.openxmlformats.org/officeDocument/2006/relationships/hyperlink" Target="https://www.mechatronicstore.cl/producto/kit-cautin-de-soldar-60w-temperatura-regulable/" TargetMode="External"/><Relationship Id="rId63" Type="http://schemas.openxmlformats.org/officeDocument/2006/relationships/hyperlink" Target="https://www.mechatronicstore.cl/producto/soporte-tercera-mano-con-lupa-y-pinzas/" TargetMode="External"/><Relationship Id="rId68" Type="http://schemas.openxmlformats.org/officeDocument/2006/relationships/hyperlink" Target="https://listado.mercadolibre.cl/lampara-lupa-led-escritorio" TargetMode="External"/><Relationship Id="rId7" Type="http://schemas.openxmlformats.org/officeDocument/2006/relationships/hyperlink" Target="https://www.mechatronicstore.cl/producto/esp32-c3-super-mini/" TargetMode="External"/><Relationship Id="rId71" Type="http://schemas.openxmlformats.org/officeDocument/2006/relationships/printerSettings" Target="../printerSettings/printerSettings2.bin"/><Relationship Id="rId2" Type="http://schemas.openxmlformats.org/officeDocument/2006/relationships/hyperlink" Target="https://listado.mercadolibre.cl/esp32-s3-n16r8" TargetMode="External"/><Relationship Id="rId16" Type="http://schemas.openxmlformats.org/officeDocument/2006/relationships/hyperlink" Target="https://afel.cl/producto/modulo-sensor-optico-ranurado/" TargetMode="External"/><Relationship Id="rId29" Type="http://schemas.openxmlformats.org/officeDocument/2006/relationships/hyperlink" Target="https://www.mechatronicstore.cl/producto/modulo-cargador-bateria-litio-tp4056-usb-c/" TargetMode="External"/><Relationship Id="rId11" Type="http://schemas.openxmlformats.org/officeDocument/2006/relationships/hyperlink" Target="https://www.mechatronicstore.cl/producto/acelerometro-digital-3-ejes-adxl345-gy-291/" TargetMode="External"/><Relationship Id="rId24" Type="http://schemas.openxmlformats.org/officeDocument/2006/relationships/hyperlink" Target="https://mcielectronics.cl/shop/product/modulo-lector-tarjetas-micro-sd-spi/" TargetMode="External"/><Relationship Id="rId32" Type="http://schemas.openxmlformats.org/officeDocument/2006/relationships/hyperlink" Target="https://afel.cl/producto/kit-resistencias-600-unidades/" TargetMode="External"/><Relationship Id="rId37" Type="http://schemas.openxmlformats.org/officeDocument/2006/relationships/hyperlink" Target="https://www.mechatronicstore.cl/producto/protoboard-830-puntos-mb-102/" TargetMode="External"/><Relationship Id="rId40" Type="http://schemas.openxmlformats.org/officeDocument/2006/relationships/hyperlink" Target="https://smdbyte.cl/" TargetMode="External"/><Relationship Id="rId45" Type="http://schemas.openxmlformats.org/officeDocument/2006/relationships/hyperlink" Target="https://www.mechatronicstore.cl/producto/multimetro-digital-mas830l/" TargetMode="External"/><Relationship Id="rId53" Type="http://schemas.openxmlformats.org/officeDocument/2006/relationships/hyperlink" Target="https://www.mechatronicstore.cl/producto/juego-de-pinzas-antiestaticas-esd/" TargetMode="External"/><Relationship Id="rId58" Type="http://schemas.openxmlformats.org/officeDocument/2006/relationships/hyperlink" Target="https://afel.cl/producto/pelacables-de-precision/" TargetMode="External"/><Relationship Id="rId66" Type="http://schemas.openxmlformats.org/officeDocument/2006/relationships/hyperlink" Target="https://afel.cl/producto/kit-de-destornilladores-de-precision/" TargetMode="External"/><Relationship Id="rId5" Type="http://schemas.openxmlformats.org/officeDocument/2006/relationships/hyperlink" Target="https://www.mechatronicstore.cl/producto/esp32-devkit-v1-30-pines/" TargetMode="External"/><Relationship Id="rId61" Type="http://schemas.openxmlformats.org/officeDocument/2006/relationships/hyperlink" Target="https://www.mechatronicstore.cl/producto/malla-desoldadora-de-cobre-2mm/" TargetMode="External"/><Relationship Id="rId19" Type="http://schemas.openxmlformats.org/officeDocument/2006/relationships/hyperlink" Target="https://www.mechatronicstore.cl/producto/pantalla-oled-0-96-i2c-ssd1306/" TargetMode="External"/><Relationship Id="rId14" Type="http://schemas.openxmlformats.org/officeDocument/2006/relationships/hyperlink" Target="https://www.mechatronicstore.cl/producto/modulo-adc-16-bits-ads1115/" TargetMode="External"/><Relationship Id="rId22" Type="http://schemas.openxmlformats.org/officeDocument/2006/relationships/hyperlink" Target="https://afel.cl/producto/pantalla-tft-2-0-spi-st7789/" TargetMode="External"/><Relationship Id="rId27" Type="http://schemas.openxmlformats.org/officeDocument/2006/relationships/hyperlink" Target="https://www.mechatronicstore.cl/producto/modulo-regulador-de-voltaje-lm2596-step-down/" TargetMode="External"/><Relationship Id="rId30" Type="http://schemas.openxmlformats.org/officeDocument/2006/relationships/hyperlink" Target="https://afel.cl/producto/modulo-cargador-de-baterias-tp4056-usb-c/" TargetMode="External"/><Relationship Id="rId35" Type="http://schemas.openxmlformats.org/officeDocument/2006/relationships/hyperlink" Target="https://mcielectronics.cl/shop/product/cables-para-protoboard-dupont-macho-hembra-40-unidades/" TargetMode="External"/><Relationship Id="rId43" Type="http://schemas.openxmlformats.org/officeDocument/2006/relationships/hyperlink" Target="https://www.mechatronicstore.cl/producto/analizador-depurador-logico-usb-24mhz-8-canales/" TargetMode="External"/><Relationship Id="rId48" Type="http://schemas.openxmlformats.org/officeDocument/2006/relationships/hyperlink" Target="https://afel.cl/" TargetMode="External"/><Relationship Id="rId56" Type="http://schemas.openxmlformats.org/officeDocument/2006/relationships/hyperlink" Target="https://afel.cl/producto/alicate-de-corte-al-ras-plato-170/" TargetMode="External"/><Relationship Id="rId64" Type="http://schemas.openxmlformats.org/officeDocument/2006/relationships/hyperlink" Target="https://afel.cl/producto/tercera-mano-con-lupa/" TargetMode="External"/><Relationship Id="rId69" Type="http://schemas.openxmlformats.org/officeDocument/2006/relationships/hyperlink" Target="https://www.mechatronicstore.cl/producto/caja-organizadora-de-componentes/" TargetMode="External"/><Relationship Id="rId8" Type="http://schemas.openxmlformats.org/officeDocument/2006/relationships/hyperlink" Target="https://afel.cl/producto/esp32-c3-super-mini/" TargetMode="External"/><Relationship Id="rId51" Type="http://schemas.openxmlformats.org/officeDocument/2006/relationships/hyperlink" Target="https://www.mechatronicstore.cl/producto/pasta-para-soldar-flux/" TargetMode="External"/><Relationship Id="rId3" Type="http://schemas.openxmlformats.org/officeDocument/2006/relationships/hyperlink" Target="https://www.mechatronicstore.cl/producto/seeed-studio-xiao-esp32s3-sense/" TargetMode="External"/><Relationship Id="rId12" Type="http://schemas.openxmlformats.org/officeDocument/2006/relationships/hyperlink" Target="https://mcielectronics.cl/shop/product/sensor-acelerometro-gy-291-adxl345/" TargetMode="External"/><Relationship Id="rId17" Type="http://schemas.openxmlformats.org/officeDocument/2006/relationships/hyperlink" Target="https://www.mechatronicstore.cl/producto/modulo-mosfet-irf520-driver-pwm/" TargetMode="External"/><Relationship Id="rId25" Type="http://schemas.openxmlformats.org/officeDocument/2006/relationships/hyperlink" Target="https://www.mechatronicstore.cl/producto/circuito-integrado-lm358/" TargetMode="External"/><Relationship Id="rId33" Type="http://schemas.openxmlformats.org/officeDocument/2006/relationships/hyperlink" Target="https://www.mechatronicstore.cl/producto/kit-capacitores-ceramicos/" TargetMode="External"/><Relationship Id="rId38" Type="http://schemas.openxmlformats.org/officeDocument/2006/relationships/hyperlink" Target="https://afel.cl/producto/protoboard-830-puntos/" TargetMode="External"/><Relationship Id="rId46" Type="http://schemas.openxmlformats.org/officeDocument/2006/relationships/hyperlink" Target="https://afel.cl/producto/multimetro-digital-mas830l/" TargetMode="External"/><Relationship Id="rId59" Type="http://schemas.openxmlformats.org/officeDocument/2006/relationships/hyperlink" Target="https://www.mechatronicstore.cl/producto/extractor-de-estano-desoldador/" TargetMode="External"/><Relationship Id="rId67" Type="http://schemas.openxmlformats.org/officeDocument/2006/relationships/hyperlink" Target="https://www.mechatronicstore.cl/producto/lampara-lupa-led-de-escritorio/" TargetMode="External"/><Relationship Id="rId20" Type="http://schemas.openxmlformats.org/officeDocument/2006/relationships/hyperlink" Target="https://mcielectronics.cl/shop/product/pantalla-oled-096-pulgadas-i2c/" TargetMode="External"/><Relationship Id="rId41" Type="http://schemas.openxmlformats.org/officeDocument/2006/relationships/hyperlink" Target="https://www.mechatronicstore.cl/producto/pulsador-tactil-6x6x5mm-con-tapa/" TargetMode="External"/><Relationship Id="rId54" Type="http://schemas.openxmlformats.org/officeDocument/2006/relationships/hyperlink" Target="https://afel.cl/producto/juego-de-pinzas-antiestaticas-esd/" TargetMode="External"/><Relationship Id="rId62" Type="http://schemas.openxmlformats.org/officeDocument/2006/relationships/hyperlink" Target="https://afel.cl/producto/malla-desoldadora/" TargetMode="External"/><Relationship Id="rId70" Type="http://schemas.openxmlformats.org/officeDocument/2006/relationships/hyperlink" Target="https://afel.cl/producto/caja-organizadora/" TargetMode="External"/><Relationship Id="rId1" Type="http://schemas.openxmlformats.org/officeDocument/2006/relationships/hyperlink" Target="https://mcielectronics.cl/shop/product/esp32-s3-devkitc-1-n16r8/" TargetMode="External"/><Relationship Id="rId6" Type="http://schemas.openxmlformats.org/officeDocument/2006/relationships/hyperlink" Target="https://mcielectronics.cl/shop/product/modulo-de-desarrollo-esp32-devkit/" TargetMode="External"/><Relationship Id="rId15" Type="http://schemas.openxmlformats.org/officeDocument/2006/relationships/hyperlink" Target="https://www.mechatronicstore.cl/producto/modulo-sensor-optico-ranurado-lm393/" TargetMode="External"/><Relationship Id="rId23" Type="http://schemas.openxmlformats.org/officeDocument/2006/relationships/hyperlink" Target="https://www.mechatronicstore.cl/producto/modulo-lector-tarjeta-micro-sd-spi/" TargetMode="External"/><Relationship Id="rId28" Type="http://schemas.openxmlformats.org/officeDocument/2006/relationships/hyperlink" Target="https://afel.cl/producto/modulo-reductor-de-voltaje-lm2596/" TargetMode="External"/><Relationship Id="rId36" Type="http://schemas.openxmlformats.org/officeDocument/2006/relationships/hyperlink" Target="https://www.mechatronicstore.cl/producto/cables-dupont-macho-hembra-20cm-40-unidades/" TargetMode="External"/><Relationship Id="rId49" Type="http://schemas.openxmlformats.org/officeDocument/2006/relationships/hyperlink" Target="https://www.mechatronicstore.cl/producto/soldadura-de-estano-60-40-16g/" TargetMode="External"/><Relationship Id="rId57" Type="http://schemas.openxmlformats.org/officeDocument/2006/relationships/hyperlink" Target="https://www.mechatronicstore.cl/producto/pelacables-de-precision/" TargetMode="External"/><Relationship Id="rId10" Type="http://schemas.openxmlformats.org/officeDocument/2006/relationships/hyperlink" Target="https://afel.cl/producto/modulo-acelerometro-y-giroscopio-mpu6050/" TargetMode="External"/><Relationship Id="rId31" Type="http://schemas.openxmlformats.org/officeDocument/2006/relationships/hyperlink" Target="https://www.mechatronicstore.cl/producto/kit-de-resistencias-600-unidades-30-valores/" TargetMode="External"/><Relationship Id="rId44" Type="http://schemas.openxmlformats.org/officeDocument/2006/relationships/hyperlink" Target="https://afel.cl/producto/analizador-logico-usb-24m-8ch/" TargetMode="External"/><Relationship Id="rId52" Type="http://schemas.openxmlformats.org/officeDocument/2006/relationships/hyperlink" Target="https://afel.cl/producto/pasta-para-soldar-flux/" TargetMode="External"/><Relationship Id="rId60" Type="http://schemas.openxmlformats.org/officeDocument/2006/relationships/hyperlink" Target="https://afel.cl/producto/bomba-desoldadora/" TargetMode="External"/><Relationship Id="rId65" Type="http://schemas.openxmlformats.org/officeDocument/2006/relationships/hyperlink" Target="https://www.mechatronicstore.cl/producto/kit-destornilladores-de-precision/" TargetMode="External"/><Relationship Id="rId4" Type="http://schemas.openxmlformats.org/officeDocument/2006/relationships/hyperlink" Target="https://mcielectronics.cl/shop/product/seeed-studio-xiao-esp32s3-sense/" TargetMode="External"/><Relationship Id="rId9" Type="http://schemas.openxmlformats.org/officeDocument/2006/relationships/hyperlink" Target="https://www.mechatronicstore.cl/producto/modulo-acelerometro-giroscopio-mpu6050-gy-521/" TargetMode="External"/><Relationship Id="rId13" Type="http://schemas.openxmlformats.org/officeDocument/2006/relationships/hyperlink" Target="https://mcielectronics.cl/shop/product/modulo-adc-conversor-analogico-digital-16-bit-ads1115/" TargetMode="External"/><Relationship Id="rId18" Type="http://schemas.openxmlformats.org/officeDocument/2006/relationships/hyperlink" Target="https://afel.cl/producto/modulo-driver-mosfet-irf520/" TargetMode="External"/><Relationship Id="rId39" Type="http://schemas.openxmlformats.org/officeDocument/2006/relationships/hyperlink" Target="https://www.mechatronicstore.cl/producto/pack-placas-perforadas-pcb-doble-faz/" TargetMode="External"/><Relationship Id="rId34" Type="http://schemas.openxmlformats.org/officeDocument/2006/relationships/hyperlink" Target="https://smdbyte.cl/" TargetMode="External"/><Relationship Id="rId50" Type="http://schemas.openxmlformats.org/officeDocument/2006/relationships/hyperlink" Target="https://victronics.cl/" TargetMode="External"/><Relationship Id="rId55" Type="http://schemas.openxmlformats.org/officeDocument/2006/relationships/hyperlink" Target="https://www.mechatronicstore.cl/producto/alicate-cortante-al-ras-plato-170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chatronicstore.cl/producto/modulo-mosfet-irf520-driver-pwm/" TargetMode="External"/><Relationship Id="rId7" Type="http://schemas.openxmlformats.org/officeDocument/2006/relationships/hyperlink" Target="https://listado.mercadolibre.cl/multimetro-true-rms-an8008" TargetMode="External"/><Relationship Id="rId2" Type="http://schemas.openxmlformats.org/officeDocument/2006/relationships/hyperlink" Target="https://mcielectronics.cl/shop/product/modulo-adc-conversor-analogico-digital-16-bit-ads1115/" TargetMode="External"/><Relationship Id="rId1" Type="http://schemas.openxmlformats.org/officeDocument/2006/relationships/hyperlink" Target="https://www.mechatronicstore.cl/producto/acelerometro-digital-3-ejes-adxl345-gy-291/" TargetMode="External"/><Relationship Id="rId6" Type="http://schemas.openxmlformats.org/officeDocument/2006/relationships/hyperlink" Target="https://www.mechatronicstore.cl/producto/modulo-cargador-bateria-litio-tp4056-usb-c/" TargetMode="External"/><Relationship Id="rId5" Type="http://schemas.openxmlformats.org/officeDocument/2006/relationships/hyperlink" Target="https://www.mechatronicstore.cl/producto/pantalla-tft-lcd-2-0-pulgadas-spi-st7789/" TargetMode="External"/><Relationship Id="rId4" Type="http://schemas.openxmlformats.org/officeDocument/2006/relationships/hyperlink" Target="https://mcielectronics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workbookViewId="0"/>
  </sheetViews>
  <sheetFormatPr baseColWidth="10" defaultRowHeight="15" x14ac:dyDescent="0.25"/>
  <cols>
    <col min="1" max="1" width="6.7109375" customWidth="1"/>
    <col min="2" max="2" width="18.7109375" customWidth="1"/>
    <col min="3" max="3" width="16.7109375" customWidth="1"/>
    <col min="4" max="4" width="32.7109375" customWidth="1"/>
    <col min="5" max="6" width="45.7109375" customWidth="1"/>
    <col min="7" max="7" width="22.7109375" customWidth="1"/>
    <col min="8" max="9" width="15.7109375" customWidth="1"/>
    <col min="10" max="10" width="16.7109375" customWidth="1"/>
    <col min="11" max="12" width="14.7109375" customWidth="1"/>
    <col min="13" max="14" width="16.7109375" customWidth="1"/>
    <col min="15" max="15" width="14.7109375" customWidth="1"/>
    <col min="16" max="16" width="28.7109375" customWidth="1"/>
    <col min="17" max="17" width="25.7109375" customWidth="1"/>
  </cols>
  <sheetData>
    <row r="1" spans="1:18" s="2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5" t="s">
        <v>343</v>
      </c>
    </row>
    <row r="2" spans="1:18" s="2" customFormat="1" ht="75" x14ac:dyDescent="0.25">
      <c r="A2" s="3">
        <v>1</v>
      </c>
      <c r="B2" s="2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3" t="s">
        <v>22</v>
      </c>
      <c r="H2" s="4">
        <v>10990</v>
      </c>
      <c r="I2" s="4">
        <v>12990</v>
      </c>
      <c r="J2" s="4"/>
      <c r="K2" s="4"/>
      <c r="L2" s="4"/>
      <c r="M2" s="4">
        <v>11990</v>
      </c>
      <c r="N2" s="4">
        <v>9990</v>
      </c>
      <c r="O2" s="5">
        <f t="shared" ref="O2:O36" si="0">IF(ISNUMBER(M2)*(M2&gt;0)*(ISNUMBER(N2)), (M2-N2)/M2, 0)</f>
        <v>0.16680567139282734</v>
      </c>
      <c r="P2" s="2" t="s">
        <v>23</v>
      </c>
      <c r="Q2" s="6" t="s">
        <v>24</v>
      </c>
    </row>
    <row r="3" spans="1:18" s="2" customFormat="1" ht="60" x14ac:dyDescent="0.25">
      <c r="A3" s="7">
        <v>2</v>
      </c>
      <c r="B3" s="8" t="s">
        <v>17</v>
      </c>
      <c r="C3" s="7" t="s">
        <v>18</v>
      </c>
      <c r="D3" s="8" t="s">
        <v>25</v>
      </c>
      <c r="E3" s="8" t="s">
        <v>26</v>
      </c>
      <c r="F3" s="8" t="s">
        <v>27</v>
      </c>
      <c r="G3" s="7" t="s">
        <v>28</v>
      </c>
      <c r="H3" s="9"/>
      <c r="I3" s="9">
        <v>19990</v>
      </c>
      <c r="J3" s="9">
        <v>22990</v>
      </c>
      <c r="K3" s="9"/>
      <c r="L3" s="9"/>
      <c r="M3" s="9">
        <v>22990</v>
      </c>
      <c r="N3" s="9">
        <v>19990</v>
      </c>
      <c r="O3" s="10">
        <f t="shared" si="0"/>
        <v>0.13049151805132667</v>
      </c>
      <c r="P3" s="8" t="s">
        <v>29</v>
      </c>
      <c r="Q3" s="23" t="s">
        <v>30</v>
      </c>
      <c r="R3" s="25" t="s">
        <v>318</v>
      </c>
    </row>
    <row r="4" spans="1:18" s="2" customFormat="1" ht="75" x14ac:dyDescent="0.25">
      <c r="A4" s="3">
        <v>3</v>
      </c>
      <c r="B4" s="2" t="s">
        <v>17</v>
      </c>
      <c r="C4" s="3" t="s">
        <v>18</v>
      </c>
      <c r="D4" s="2" t="s">
        <v>31</v>
      </c>
      <c r="E4" s="2" t="s">
        <v>32</v>
      </c>
      <c r="F4" s="2" t="s">
        <v>33</v>
      </c>
      <c r="G4" s="3" t="s">
        <v>28</v>
      </c>
      <c r="H4" s="4">
        <v>6990</v>
      </c>
      <c r="I4" s="4">
        <v>8990</v>
      </c>
      <c r="J4" s="4">
        <v>6990</v>
      </c>
      <c r="K4" s="4"/>
      <c r="L4" s="4"/>
      <c r="M4" s="4">
        <v>6990</v>
      </c>
      <c r="N4" s="4">
        <v>5990</v>
      </c>
      <c r="O4" s="5">
        <f t="shared" si="0"/>
        <v>0.14306151645207441</v>
      </c>
      <c r="P4" s="2" t="s">
        <v>34</v>
      </c>
      <c r="Q4" s="23" t="s">
        <v>30</v>
      </c>
      <c r="R4" s="27" t="s">
        <v>319</v>
      </c>
    </row>
    <row r="5" spans="1:18" s="2" customFormat="1" ht="60" x14ac:dyDescent="0.25">
      <c r="A5" s="7">
        <v>4</v>
      </c>
      <c r="B5" s="8" t="s">
        <v>17</v>
      </c>
      <c r="C5" s="7" t="s">
        <v>18</v>
      </c>
      <c r="D5" s="8" t="s">
        <v>35</v>
      </c>
      <c r="E5" s="8" t="s">
        <v>36</v>
      </c>
      <c r="F5" s="8" t="s">
        <v>37</v>
      </c>
      <c r="G5" s="7" t="s">
        <v>28</v>
      </c>
      <c r="H5" s="9">
        <v>4990</v>
      </c>
      <c r="I5" s="9"/>
      <c r="J5" s="9">
        <v>7990</v>
      </c>
      <c r="K5" s="9"/>
      <c r="L5" s="9"/>
      <c r="M5" s="9">
        <v>6290</v>
      </c>
      <c r="N5" s="9">
        <v>4990</v>
      </c>
      <c r="O5" s="10">
        <f t="shared" si="0"/>
        <v>0.2066772655007949</v>
      </c>
      <c r="P5" s="8" t="s">
        <v>34</v>
      </c>
      <c r="Q5" s="23" t="s">
        <v>30</v>
      </c>
      <c r="R5" s="27" t="s">
        <v>319</v>
      </c>
    </row>
    <row r="6" spans="1:18" s="2" customFormat="1" ht="75" x14ac:dyDescent="0.25">
      <c r="A6" s="3">
        <v>5</v>
      </c>
      <c r="B6" s="2" t="s">
        <v>38</v>
      </c>
      <c r="C6" s="3" t="s">
        <v>18</v>
      </c>
      <c r="D6" s="2" t="s">
        <v>39</v>
      </c>
      <c r="E6" s="2" t="s">
        <v>40</v>
      </c>
      <c r="F6" s="2" t="s">
        <v>41</v>
      </c>
      <c r="G6" s="3" t="s">
        <v>22</v>
      </c>
      <c r="H6" s="4"/>
      <c r="I6" s="4">
        <v>5990</v>
      </c>
      <c r="J6" s="4">
        <v>4490</v>
      </c>
      <c r="K6" s="4">
        <v>4000</v>
      </c>
      <c r="L6" s="4">
        <v>2870</v>
      </c>
      <c r="M6" s="4">
        <v>4490</v>
      </c>
      <c r="N6" s="4">
        <v>2870</v>
      </c>
      <c r="O6" s="5">
        <f t="shared" si="0"/>
        <v>0.36080178173719374</v>
      </c>
      <c r="P6" s="2" t="s">
        <v>42</v>
      </c>
      <c r="Q6" s="23" t="s">
        <v>30</v>
      </c>
      <c r="R6" s="27" t="s">
        <v>319</v>
      </c>
    </row>
    <row r="7" spans="1:18" s="2" customFormat="1" ht="75" x14ac:dyDescent="0.25">
      <c r="A7" s="7">
        <v>6</v>
      </c>
      <c r="B7" s="8" t="s">
        <v>38</v>
      </c>
      <c r="C7" s="12" t="s">
        <v>43</v>
      </c>
      <c r="D7" s="13" t="s">
        <v>44</v>
      </c>
      <c r="E7" s="8" t="s">
        <v>45</v>
      </c>
      <c r="F7" s="8" t="s">
        <v>46</v>
      </c>
      <c r="G7" s="7" t="s">
        <v>47</v>
      </c>
      <c r="H7" s="9"/>
      <c r="I7" s="9">
        <v>4690</v>
      </c>
      <c r="J7" s="9">
        <v>3490</v>
      </c>
      <c r="K7" s="9">
        <v>3800</v>
      </c>
      <c r="L7" s="9"/>
      <c r="M7" s="9">
        <v>3490</v>
      </c>
      <c r="N7" s="9">
        <v>2990</v>
      </c>
      <c r="O7" s="10">
        <f t="shared" si="0"/>
        <v>0.14326647564469913</v>
      </c>
      <c r="P7" s="8" t="s">
        <v>48</v>
      </c>
      <c r="Q7" s="23" t="s">
        <v>30</v>
      </c>
      <c r="R7" s="25" t="s">
        <v>318</v>
      </c>
    </row>
    <row r="8" spans="1:18" s="2" customFormat="1" ht="75" x14ac:dyDescent="0.25">
      <c r="A8" s="3">
        <v>7</v>
      </c>
      <c r="B8" s="2" t="s">
        <v>38</v>
      </c>
      <c r="C8" s="14" t="s">
        <v>43</v>
      </c>
      <c r="D8" s="15" t="s">
        <v>49</v>
      </c>
      <c r="E8" s="2" t="s">
        <v>50</v>
      </c>
      <c r="F8" s="2" t="s">
        <v>51</v>
      </c>
      <c r="G8" s="3" t="s">
        <v>47</v>
      </c>
      <c r="H8" s="4"/>
      <c r="I8" s="4">
        <v>4990</v>
      </c>
      <c r="J8" s="4">
        <v>5490</v>
      </c>
      <c r="K8" s="4">
        <v>5000</v>
      </c>
      <c r="L8" s="4"/>
      <c r="M8" s="4">
        <v>4990</v>
      </c>
      <c r="N8" s="4">
        <v>4290</v>
      </c>
      <c r="O8" s="5">
        <f t="shared" si="0"/>
        <v>0.14028056112224449</v>
      </c>
      <c r="P8" s="2" t="s">
        <v>29</v>
      </c>
      <c r="Q8" s="6" t="s">
        <v>24</v>
      </c>
    </row>
    <row r="9" spans="1:18" s="2" customFormat="1" ht="60" x14ac:dyDescent="0.25">
      <c r="A9" s="7">
        <v>8</v>
      </c>
      <c r="B9" s="8" t="s">
        <v>38</v>
      </c>
      <c r="C9" s="12" t="s">
        <v>43</v>
      </c>
      <c r="D9" s="13" t="s">
        <v>52</v>
      </c>
      <c r="E9" s="8" t="s">
        <v>53</v>
      </c>
      <c r="F9" s="8" t="s">
        <v>54</v>
      </c>
      <c r="G9" s="7" t="s">
        <v>55</v>
      </c>
      <c r="H9" s="9"/>
      <c r="I9" s="9"/>
      <c r="J9" s="9">
        <v>1490</v>
      </c>
      <c r="K9" s="9">
        <v>1500</v>
      </c>
      <c r="L9" s="9">
        <v>1290</v>
      </c>
      <c r="M9" s="9">
        <v>1490</v>
      </c>
      <c r="N9" s="9">
        <v>990</v>
      </c>
      <c r="O9" s="10">
        <f t="shared" si="0"/>
        <v>0.33557046979865773</v>
      </c>
      <c r="P9" s="8" t="s">
        <v>56</v>
      </c>
      <c r="Q9" s="23" t="s">
        <v>30</v>
      </c>
      <c r="R9" s="25" t="s">
        <v>318</v>
      </c>
    </row>
    <row r="10" spans="1:18" s="2" customFormat="1" ht="75" x14ac:dyDescent="0.25">
      <c r="A10" s="3">
        <v>9</v>
      </c>
      <c r="B10" s="2" t="s">
        <v>38</v>
      </c>
      <c r="C10" s="14" t="s">
        <v>43</v>
      </c>
      <c r="D10" s="15" t="s">
        <v>57</v>
      </c>
      <c r="E10" s="2" t="s">
        <v>58</v>
      </c>
      <c r="F10" s="2" t="s">
        <v>59</v>
      </c>
      <c r="G10" s="3" t="s">
        <v>55</v>
      </c>
      <c r="H10" s="4"/>
      <c r="I10" s="4">
        <v>2490</v>
      </c>
      <c r="J10" s="4">
        <v>1990</v>
      </c>
      <c r="K10" s="4">
        <v>1800</v>
      </c>
      <c r="L10" s="4"/>
      <c r="M10" s="4">
        <v>1990</v>
      </c>
      <c r="N10" s="4">
        <v>1490</v>
      </c>
      <c r="O10" s="5">
        <f t="shared" si="0"/>
        <v>0.25125628140703515</v>
      </c>
      <c r="P10" s="2" t="s">
        <v>56</v>
      </c>
      <c r="Q10" s="23" t="s">
        <v>30</v>
      </c>
      <c r="R10" s="27" t="s">
        <v>319</v>
      </c>
    </row>
    <row r="11" spans="1:18" s="2" customFormat="1" ht="75" x14ac:dyDescent="0.25">
      <c r="A11" s="7">
        <v>10</v>
      </c>
      <c r="B11" s="8" t="s">
        <v>60</v>
      </c>
      <c r="C11" s="7" t="s">
        <v>18</v>
      </c>
      <c r="D11" s="8" t="s">
        <v>61</v>
      </c>
      <c r="E11" s="8" t="s">
        <v>62</v>
      </c>
      <c r="F11" s="8" t="s">
        <v>63</v>
      </c>
      <c r="G11" s="7" t="s">
        <v>22</v>
      </c>
      <c r="H11" s="9">
        <v>4990</v>
      </c>
      <c r="I11" s="9">
        <v>5490</v>
      </c>
      <c r="J11" s="9">
        <v>5490</v>
      </c>
      <c r="K11" s="9"/>
      <c r="L11" s="9"/>
      <c r="M11" s="9">
        <v>4990</v>
      </c>
      <c r="N11" s="9">
        <v>3990</v>
      </c>
      <c r="O11" s="10">
        <f t="shared" si="0"/>
        <v>0.20040080160320642</v>
      </c>
      <c r="P11" s="8" t="s">
        <v>34</v>
      </c>
      <c r="Q11" s="23" t="s">
        <v>30</v>
      </c>
      <c r="R11" s="27" t="s">
        <v>319</v>
      </c>
    </row>
    <row r="12" spans="1:18" s="2" customFormat="1" ht="75" x14ac:dyDescent="0.25">
      <c r="A12" s="3">
        <v>11</v>
      </c>
      <c r="B12" s="2" t="s">
        <v>60</v>
      </c>
      <c r="C12" s="14" t="s">
        <v>43</v>
      </c>
      <c r="D12" s="15" t="s">
        <v>64</v>
      </c>
      <c r="E12" s="2" t="s">
        <v>65</v>
      </c>
      <c r="F12" s="2" t="s">
        <v>66</v>
      </c>
      <c r="G12" s="3" t="s">
        <v>55</v>
      </c>
      <c r="H12" s="4"/>
      <c r="I12" s="4"/>
      <c r="J12" s="4">
        <v>8990</v>
      </c>
      <c r="K12" s="4">
        <v>8500</v>
      </c>
      <c r="L12" s="4"/>
      <c r="M12" s="4">
        <v>8990</v>
      </c>
      <c r="N12" s="4">
        <v>6990</v>
      </c>
      <c r="O12" s="5">
        <f t="shared" si="0"/>
        <v>0.22246941045606228</v>
      </c>
      <c r="P12" s="2" t="s">
        <v>56</v>
      </c>
      <c r="Q12" s="23" t="s">
        <v>30</v>
      </c>
      <c r="R12" s="27" t="s">
        <v>319</v>
      </c>
    </row>
    <row r="13" spans="1:18" s="2" customFormat="1" ht="60" x14ac:dyDescent="0.25">
      <c r="A13" s="7">
        <v>12</v>
      </c>
      <c r="B13" s="8" t="s">
        <v>67</v>
      </c>
      <c r="C13" s="7" t="s">
        <v>18</v>
      </c>
      <c r="D13" s="8" t="s">
        <v>68</v>
      </c>
      <c r="E13" s="8" t="s">
        <v>69</v>
      </c>
      <c r="F13" s="8" t="s">
        <v>70</v>
      </c>
      <c r="G13" s="7" t="s">
        <v>55</v>
      </c>
      <c r="H13" s="9">
        <v>1490</v>
      </c>
      <c r="I13" s="9"/>
      <c r="J13" s="9">
        <v>1990</v>
      </c>
      <c r="K13" s="9"/>
      <c r="L13" s="9"/>
      <c r="M13" s="9">
        <v>1990</v>
      </c>
      <c r="N13" s="9">
        <v>1290</v>
      </c>
      <c r="O13" s="10">
        <f t="shared" si="0"/>
        <v>0.35175879396984927</v>
      </c>
      <c r="P13" s="8" t="s">
        <v>34</v>
      </c>
      <c r="Q13" s="23" t="s">
        <v>30</v>
      </c>
      <c r="R13" s="25" t="s">
        <v>318</v>
      </c>
    </row>
    <row r="14" spans="1:18" s="2" customFormat="1" ht="75" x14ac:dyDescent="0.25">
      <c r="A14" s="3">
        <v>13</v>
      </c>
      <c r="B14" s="2" t="s">
        <v>71</v>
      </c>
      <c r="C14" s="3" t="s">
        <v>18</v>
      </c>
      <c r="D14" s="2" t="s">
        <v>72</v>
      </c>
      <c r="E14" s="2" t="s">
        <v>73</v>
      </c>
      <c r="F14" s="2" t="s">
        <v>74</v>
      </c>
      <c r="G14" s="3" t="s">
        <v>55</v>
      </c>
      <c r="H14" s="4">
        <v>990</v>
      </c>
      <c r="I14" s="4"/>
      <c r="J14" s="4">
        <v>990</v>
      </c>
      <c r="K14" s="4"/>
      <c r="L14" s="4">
        <v>650</v>
      </c>
      <c r="M14" s="4">
        <v>990</v>
      </c>
      <c r="N14" s="4">
        <v>590</v>
      </c>
      <c r="O14" s="5">
        <f t="shared" si="0"/>
        <v>0.40404040404040403</v>
      </c>
      <c r="P14" s="2" t="s">
        <v>75</v>
      </c>
      <c r="Q14" s="23" t="s">
        <v>30</v>
      </c>
      <c r="R14" s="25" t="s">
        <v>318</v>
      </c>
    </row>
    <row r="15" spans="1:18" s="2" customFormat="1" ht="60" x14ac:dyDescent="0.25">
      <c r="A15" s="7">
        <v>14</v>
      </c>
      <c r="B15" s="8" t="s">
        <v>76</v>
      </c>
      <c r="C15" s="7" t="s">
        <v>18</v>
      </c>
      <c r="D15" s="8" t="s">
        <v>77</v>
      </c>
      <c r="E15" s="8" t="s">
        <v>78</v>
      </c>
      <c r="F15" s="8" t="s">
        <v>79</v>
      </c>
      <c r="G15" s="7" t="s">
        <v>55</v>
      </c>
      <c r="H15" s="9">
        <v>2490</v>
      </c>
      <c r="I15" s="9"/>
      <c r="J15" s="9">
        <v>1990</v>
      </c>
      <c r="K15" s="9">
        <v>2200</v>
      </c>
      <c r="L15" s="9"/>
      <c r="M15" s="9">
        <v>1990</v>
      </c>
      <c r="N15" s="9">
        <v>1290</v>
      </c>
      <c r="O15" s="10">
        <f t="shared" si="0"/>
        <v>0.35175879396984927</v>
      </c>
      <c r="P15" s="8" t="s">
        <v>80</v>
      </c>
      <c r="Q15" s="23" t="s">
        <v>30</v>
      </c>
      <c r="R15" s="27" t="s">
        <v>319</v>
      </c>
    </row>
    <row r="16" spans="1:18" s="2" customFormat="1" ht="60" x14ac:dyDescent="0.25">
      <c r="A16" s="3">
        <v>15</v>
      </c>
      <c r="B16" s="2" t="s">
        <v>76</v>
      </c>
      <c r="C16" s="3" t="s">
        <v>18</v>
      </c>
      <c r="D16" s="2" t="s">
        <v>81</v>
      </c>
      <c r="E16" s="2" t="s">
        <v>82</v>
      </c>
      <c r="F16" s="2" t="s">
        <v>83</v>
      </c>
      <c r="G16" s="3" t="s">
        <v>28</v>
      </c>
      <c r="H16" s="4">
        <v>1490</v>
      </c>
      <c r="I16" s="4"/>
      <c r="J16" s="4">
        <v>1490</v>
      </c>
      <c r="K16" s="4">
        <v>1500</v>
      </c>
      <c r="L16" s="4"/>
      <c r="M16" s="4">
        <v>1490</v>
      </c>
      <c r="N16" s="4">
        <v>990</v>
      </c>
      <c r="O16" s="5">
        <f t="shared" si="0"/>
        <v>0.33557046979865773</v>
      </c>
      <c r="P16" s="2" t="s">
        <v>34</v>
      </c>
      <c r="Q16" s="23" t="s">
        <v>30</v>
      </c>
      <c r="R16" s="27" t="s">
        <v>319</v>
      </c>
    </row>
    <row r="17" spans="1:18" s="2" customFormat="1" ht="60" x14ac:dyDescent="0.25">
      <c r="A17" s="7">
        <v>16</v>
      </c>
      <c r="B17" s="8" t="s">
        <v>84</v>
      </c>
      <c r="C17" s="7" t="s">
        <v>18</v>
      </c>
      <c r="D17" s="8" t="s">
        <v>85</v>
      </c>
      <c r="E17" s="8" t="s">
        <v>86</v>
      </c>
      <c r="F17" s="8" t="s">
        <v>87</v>
      </c>
      <c r="G17" s="7" t="s">
        <v>22</v>
      </c>
      <c r="H17" s="9">
        <v>5490</v>
      </c>
      <c r="I17" s="9"/>
      <c r="J17" s="9">
        <v>5990</v>
      </c>
      <c r="K17" s="9"/>
      <c r="L17" s="9"/>
      <c r="M17" s="9">
        <v>5490</v>
      </c>
      <c r="N17" s="9">
        <v>4490</v>
      </c>
      <c r="O17" s="10">
        <f t="shared" si="0"/>
        <v>0.18214936247723132</v>
      </c>
      <c r="P17" s="8" t="s">
        <v>34</v>
      </c>
      <c r="Q17" s="23" t="s">
        <v>30</v>
      </c>
      <c r="R17" s="27" t="s">
        <v>319</v>
      </c>
    </row>
    <row r="18" spans="1:18" s="2" customFormat="1" ht="60" x14ac:dyDescent="0.25">
      <c r="A18" s="3">
        <v>17</v>
      </c>
      <c r="B18" s="2" t="s">
        <v>84</v>
      </c>
      <c r="C18" s="3" t="s">
        <v>18</v>
      </c>
      <c r="D18" s="2" t="s">
        <v>88</v>
      </c>
      <c r="E18" s="2" t="s">
        <v>89</v>
      </c>
      <c r="F18" s="2" t="s">
        <v>90</v>
      </c>
      <c r="G18" s="3" t="s">
        <v>22</v>
      </c>
      <c r="H18" s="4">
        <v>2490</v>
      </c>
      <c r="I18" s="4"/>
      <c r="J18" s="4">
        <v>2990</v>
      </c>
      <c r="K18" s="4"/>
      <c r="L18" s="4"/>
      <c r="M18" s="4">
        <v>2490</v>
      </c>
      <c r="N18" s="4">
        <v>1990</v>
      </c>
      <c r="O18" s="5">
        <f t="shared" si="0"/>
        <v>0.20080321285140562</v>
      </c>
      <c r="P18" s="2" t="s">
        <v>34</v>
      </c>
      <c r="Q18" s="23" t="s">
        <v>30</v>
      </c>
      <c r="R18" s="27" t="s">
        <v>319</v>
      </c>
    </row>
    <row r="19" spans="1:18" s="2" customFormat="1" ht="60" x14ac:dyDescent="0.25">
      <c r="A19" s="7">
        <v>18</v>
      </c>
      <c r="B19" s="8" t="s">
        <v>91</v>
      </c>
      <c r="C19" s="7" t="s">
        <v>18</v>
      </c>
      <c r="D19" s="8" t="s">
        <v>92</v>
      </c>
      <c r="E19" s="8" t="s">
        <v>93</v>
      </c>
      <c r="F19" s="8" t="s">
        <v>94</v>
      </c>
      <c r="G19" s="7" t="s">
        <v>22</v>
      </c>
      <c r="H19" s="9">
        <v>6990</v>
      </c>
      <c r="I19" s="9">
        <v>2990</v>
      </c>
      <c r="J19" s="9">
        <v>3490</v>
      </c>
      <c r="K19" s="9"/>
      <c r="L19" s="9"/>
      <c r="M19" s="9">
        <v>3490</v>
      </c>
      <c r="N19" s="9">
        <v>2490</v>
      </c>
      <c r="O19" s="10">
        <f t="shared" si="0"/>
        <v>0.28653295128939826</v>
      </c>
      <c r="P19" s="8" t="s">
        <v>29</v>
      </c>
      <c r="Q19" s="23" t="s">
        <v>24</v>
      </c>
      <c r="R19" s="25" t="s">
        <v>318</v>
      </c>
    </row>
    <row r="20" spans="1:18" s="2" customFormat="1" ht="60" x14ac:dyDescent="0.25">
      <c r="A20" s="3">
        <v>19</v>
      </c>
      <c r="B20" s="2" t="s">
        <v>91</v>
      </c>
      <c r="C20" s="3" t="s">
        <v>18</v>
      </c>
      <c r="D20" s="2" t="s">
        <v>95</v>
      </c>
      <c r="E20" s="2" t="s">
        <v>96</v>
      </c>
      <c r="F20" s="2" t="s">
        <v>97</v>
      </c>
      <c r="G20" s="3" t="s">
        <v>22</v>
      </c>
      <c r="H20" s="4"/>
      <c r="I20" s="4">
        <v>3990</v>
      </c>
      <c r="J20" s="4">
        <v>3790</v>
      </c>
      <c r="K20" s="4">
        <v>3500</v>
      </c>
      <c r="L20" s="4"/>
      <c r="M20" s="4">
        <v>3790</v>
      </c>
      <c r="N20" s="4">
        <v>2890</v>
      </c>
      <c r="O20" s="5">
        <f t="shared" si="0"/>
        <v>0.23746701846965698</v>
      </c>
      <c r="P20" s="2" t="s">
        <v>56</v>
      </c>
      <c r="Q20" s="23" t="s">
        <v>30</v>
      </c>
      <c r="R20" s="25" t="s">
        <v>318</v>
      </c>
    </row>
    <row r="21" spans="1:18" s="2" customFormat="1" ht="60" x14ac:dyDescent="0.25">
      <c r="A21" s="7">
        <v>20</v>
      </c>
      <c r="B21" s="8" t="s">
        <v>91</v>
      </c>
      <c r="C21" s="7" t="s">
        <v>18</v>
      </c>
      <c r="D21" s="8" t="s">
        <v>98</v>
      </c>
      <c r="E21" s="8" t="s">
        <v>99</v>
      </c>
      <c r="F21" s="8" t="s">
        <v>100</v>
      </c>
      <c r="G21" s="7" t="s">
        <v>55</v>
      </c>
      <c r="H21" s="9">
        <v>1990</v>
      </c>
      <c r="I21" s="9"/>
      <c r="J21" s="9">
        <v>2490</v>
      </c>
      <c r="K21" s="9"/>
      <c r="L21" s="9"/>
      <c r="M21" s="9">
        <v>1990</v>
      </c>
      <c r="N21" s="9">
        <v>1590</v>
      </c>
      <c r="O21" s="10">
        <f t="shared" si="0"/>
        <v>0.20100502512562815</v>
      </c>
      <c r="P21" s="8" t="s">
        <v>34</v>
      </c>
      <c r="Q21" s="23" t="s">
        <v>30</v>
      </c>
      <c r="R21" s="27" t="s">
        <v>319</v>
      </c>
    </row>
    <row r="22" spans="1:18" s="2" customFormat="1" ht="60" x14ac:dyDescent="0.25">
      <c r="A22" s="3">
        <v>21</v>
      </c>
      <c r="B22" s="2" t="s">
        <v>91</v>
      </c>
      <c r="C22" s="3" t="s">
        <v>18</v>
      </c>
      <c r="D22" s="2" t="s">
        <v>101</v>
      </c>
      <c r="E22" s="2" t="s">
        <v>102</v>
      </c>
      <c r="F22" s="2" t="s">
        <v>103</v>
      </c>
      <c r="G22" s="3" t="s">
        <v>22</v>
      </c>
      <c r="H22" s="4">
        <v>590</v>
      </c>
      <c r="I22" s="4"/>
      <c r="J22" s="4">
        <v>990</v>
      </c>
      <c r="K22" s="4"/>
      <c r="L22" s="4"/>
      <c r="M22" s="4">
        <v>990</v>
      </c>
      <c r="N22" s="4">
        <v>490</v>
      </c>
      <c r="O22" s="5">
        <f t="shared" si="0"/>
        <v>0.50505050505050508</v>
      </c>
      <c r="P22" s="2" t="s">
        <v>34</v>
      </c>
      <c r="Q22" s="23" t="s">
        <v>30</v>
      </c>
      <c r="R22" s="25" t="s">
        <v>318</v>
      </c>
    </row>
    <row r="23" spans="1:18" s="2" customFormat="1" ht="75" x14ac:dyDescent="0.25">
      <c r="A23" s="7">
        <v>22</v>
      </c>
      <c r="B23" s="8" t="s">
        <v>104</v>
      </c>
      <c r="C23" s="7" t="s">
        <v>18</v>
      </c>
      <c r="D23" s="8" t="s">
        <v>105</v>
      </c>
      <c r="E23" s="8" t="s">
        <v>106</v>
      </c>
      <c r="F23" s="8" t="s">
        <v>107</v>
      </c>
      <c r="G23" s="7" t="s">
        <v>22</v>
      </c>
      <c r="H23" s="9"/>
      <c r="I23" s="9"/>
      <c r="J23" s="9">
        <v>9190</v>
      </c>
      <c r="K23" s="9">
        <v>10000</v>
      </c>
      <c r="L23" s="9"/>
      <c r="M23" s="9">
        <v>9190</v>
      </c>
      <c r="N23" s="9">
        <v>7990</v>
      </c>
      <c r="O23" s="10">
        <f t="shared" si="0"/>
        <v>0.13057671381936889</v>
      </c>
      <c r="P23" s="8" t="s">
        <v>56</v>
      </c>
      <c r="Q23" s="23" t="s">
        <v>30</v>
      </c>
      <c r="R23" s="25" t="s">
        <v>318</v>
      </c>
    </row>
    <row r="24" spans="1:18" s="2" customFormat="1" ht="75" x14ac:dyDescent="0.25">
      <c r="A24" s="3">
        <v>23</v>
      </c>
      <c r="B24" s="2" t="s">
        <v>104</v>
      </c>
      <c r="C24" s="3" t="s">
        <v>18</v>
      </c>
      <c r="D24" s="2" t="s">
        <v>108</v>
      </c>
      <c r="E24" s="2" t="s">
        <v>109</v>
      </c>
      <c r="F24" s="2" t="s">
        <v>110</v>
      </c>
      <c r="G24" s="3" t="s">
        <v>22</v>
      </c>
      <c r="H24" s="4"/>
      <c r="I24" s="4"/>
      <c r="J24" s="4">
        <v>9490</v>
      </c>
      <c r="K24" s="4">
        <v>8900</v>
      </c>
      <c r="L24" s="4"/>
      <c r="M24" s="4">
        <v>9490</v>
      </c>
      <c r="N24" s="4">
        <v>7990</v>
      </c>
      <c r="O24" s="5">
        <f t="shared" si="0"/>
        <v>0.15806111696522657</v>
      </c>
      <c r="P24" s="2" t="s">
        <v>56</v>
      </c>
      <c r="Q24" s="23" t="s">
        <v>30</v>
      </c>
      <c r="R24" s="27" t="s">
        <v>319</v>
      </c>
    </row>
    <row r="25" spans="1:18" s="2" customFormat="1" ht="60" x14ac:dyDescent="0.25">
      <c r="A25" s="7">
        <v>24</v>
      </c>
      <c r="B25" s="8" t="s">
        <v>111</v>
      </c>
      <c r="C25" s="7" t="s">
        <v>18</v>
      </c>
      <c r="D25" s="8" t="s">
        <v>112</v>
      </c>
      <c r="E25" s="8" t="s">
        <v>113</v>
      </c>
      <c r="F25" s="8" t="s">
        <v>114</v>
      </c>
      <c r="G25" s="7" t="s">
        <v>22</v>
      </c>
      <c r="H25" s="9"/>
      <c r="I25" s="9"/>
      <c r="J25" s="9">
        <v>14900</v>
      </c>
      <c r="K25" s="9">
        <v>13500</v>
      </c>
      <c r="L25" s="9"/>
      <c r="M25" s="9">
        <v>14900</v>
      </c>
      <c r="N25" s="9">
        <v>11990</v>
      </c>
      <c r="O25" s="10">
        <f t="shared" si="0"/>
        <v>0.1953020134228188</v>
      </c>
      <c r="P25" s="8" t="s">
        <v>56</v>
      </c>
      <c r="Q25" s="23" t="s">
        <v>30</v>
      </c>
      <c r="R25" s="25" t="s">
        <v>318</v>
      </c>
    </row>
    <row r="26" spans="1:18" s="2" customFormat="1" ht="60" x14ac:dyDescent="0.25">
      <c r="A26" s="3">
        <v>25</v>
      </c>
      <c r="B26" s="2" t="s">
        <v>111</v>
      </c>
      <c r="C26" s="3" t="s">
        <v>18</v>
      </c>
      <c r="D26" s="2" t="s">
        <v>115</v>
      </c>
      <c r="E26" s="2" t="s">
        <v>116</v>
      </c>
      <c r="F26" s="2" t="s">
        <v>117</v>
      </c>
      <c r="G26" s="3" t="s">
        <v>22</v>
      </c>
      <c r="H26" s="4"/>
      <c r="I26" s="4"/>
      <c r="J26" s="4">
        <v>2890</v>
      </c>
      <c r="K26" s="4">
        <v>2900</v>
      </c>
      <c r="L26" s="4">
        <v>2700</v>
      </c>
      <c r="M26" s="4">
        <v>2890</v>
      </c>
      <c r="N26" s="4">
        <v>2190</v>
      </c>
      <c r="O26" s="5">
        <f t="shared" si="0"/>
        <v>0.24221453287197231</v>
      </c>
      <c r="P26" s="2" t="s">
        <v>118</v>
      </c>
      <c r="Q26" s="23" t="s">
        <v>30</v>
      </c>
      <c r="R26" s="25" t="s">
        <v>318</v>
      </c>
    </row>
    <row r="27" spans="1:18" s="2" customFormat="1" ht="60" x14ac:dyDescent="0.25">
      <c r="A27" s="7">
        <v>26</v>
      </c>
      <c r="B27" s="8" t="s">
        <v>111</v>
      </c>
      <c r="C27" s="7" t="s">
        <v>18</v>
      </c>
      <c r="D27" s="8" t="s">
        <v>119</v>
      </c>
      <c r="E27" s="8" t="s">
        <v>120</v>
      </c>
      <c r="F27" s="8" t="s">
        <v>121</v>
      </c>
      <c r="G27" s="7" t="s">
        <v>22</v>
      </c>
      <c r="H27" s="9"/>
      <c r="I27" s="9"/>
      <c r="J27" s="9">
        <v>2990</v>
      </c>
      <c r="K27" s="9">
        <v>2500</v>
      </c>
      <c r="L27" s="9"/>
      <c r="M27" s="9">
        <v>2990</v>
      </c>
      <c r="N27" s="9">
        <v>1990</v>
      </c>
      <c r="O27" s="10">
        <f t="shared" si="0"/>
        <v>0.33444816053511706</v>
      </c>
      <c r="P27" s="8" t="s">
        <v>56</v>
      </c>
      <c r="Q27" s="23" t="s">
        <v>30</v>
      </c>
      <c r="R27" s="25" t="s">
        <v>318</v>
      </c>
    </row>
    <row r="28" spans="1:18" s="2" customFormat="1" ht="60" x14ac:dyDescent="0.25">
      <c r="A28" s="3">
        <v>27</v>
      </c>
      <c r="B28" s="2" t="s">
        <v>111</v>
      </c>
      <c r="C28" s="3" t="s">
        <v>18</v>
      </c>
      <c r="D28" s="2" t="s">
        <v>122</v>
      </c>
      <c r="E28" s="2" t="s">
        <v>123</v>
      </c>
      <c r="F28" s="2" t="s">
        <v>124</v>
      </c>
      <c r="G28" s="3" t="s">
        <v>22</v>
      </c>
      <c r="H28" s="4"/>
      <c r="I28" s="4"/>
      <c r="J28" s="4">
        <v>2990</v>
      </c>
      <c r="K28" s="4">
        <v>3200</v>
      </c>
      <c r="L28" s="4"/>
      <c r="M28" s="4">
        <v>2990</v>
      </c>
      <c r="N28" s="4">
        <v>2290</v>
      </c>
      <c r="O28" s="5">
        <f t="shared" si="0"/>
        <v>0.23411371237458195</v>
      </c>
      <c r="P28" s="2" t="s">
        <v>56</v>
      </c>
      <c r="Q28" s="23" t="s">
        <v>30</v>
      </c>
      <c r="R28" s="25" t="s">
        <v>318</v>
      </c>
    </row>
    <row r="29" spans="1:18" s="2" customFormat="1" ht="60" x14ac:dyDescent="0.25">
      <c r="A29" s="7">
        <v>28</v>
      </c>
      <c r="B29" s="8" t="s">
        <v>111</v>
      </c>
      <c r="C29" s="7" t="s">
        <v>18</v>
      </c>
      <c r="D29" s="8" t="s">
        <v>125</v>
      </c>
      <c r="E29" s="8" t="s">
        <v>126</v>
      </c>
      <c r="F29" s="8" t="s">
        <v>127</v>
      </c>
      <c r="G29" s="7" t="s">
        <v>22</v>
      </c>
      <c r="H29" s="9"/>
      <c r="I29" s="9"/>
      <c r="J29" s="9">
        <v>2490</v>
      </c>
      <c r="K29" s="9">
        <v>2300</v>
      </c>
      <c r="L29" s="9"/>
      <c r="M29" s="9">
        <v>2490</v>
      </c>
      <c r="N29" s="9">
        <v>1790</v>
      </c>
      <c r="O29" s="10">
        <f t="shared" si="0"/>
        <v>0.28112449799196787</v>
      </c>
      <c r="P29" s="8" t="s">
        <v>56</v>
      </c>
      <c r="Q29" s="23" t="s">
        <v>30</v>
      </c>
      <c r="R29" s="27" t="s">
        <v>319</v>
      </c>
    </row>
    <row r="30" spans="1:18" s="2" customFormat="1" ht="45" x14ac:dyDescent="0.25">
      <c r="A30" s="3">
        <v>29</v>
      </c>
      <c r="B30" s="2" t="s">
        <v>111</v>
      </c>
      <c r="C30" s="3" t="s">
        <v>18</v>
      </c>
      <c r="D30" s="2" t="s">
        <v>128</v>
      </c>
      <c r="E30" s="2" t="s">
        <v>129</v>
      </c>
      <c r="F30" s="2" t="s">
        <v>130</v>
      </c>
      <c r="G30" s="3" t="s">
        <v>22</v>
      </c>
      <c r="H30" s="4"/>
      <c r="I30" s="4"/>
      <c r="J30" s="4">
        <v>4490</v>
      </c>
      <c r="K30" s="4">
        <v>4200</v>
      </c>
      <c r="L30" s="4"/>
      <c r="M30" s="4">
        <v>4490</v>
      </c>
      <c r="N30" s="4">
        <v>3490</v>
      </c>
      <c r="O30" s="5">
        <f t="shared" si="0"/>
        <v>0.22271714922048999</v>
      </c>
      <c r="P30" s="2" t="s">
        <v>56</v>
      </c>
      <c r="Q30" s="23" t="s">
        <v>30</v>
      </c>
      <c r="R30" s="27" t="s">
        <v>319</v>
      </c>
    </row>
    <row r="31" spans="1:18" s="2" customFormat="1" ht="45" x14ac:dyDescent="0.25">
      <c r="A31" s="7">
        <v>30</v>
      </c>
      <c r="B31" s="8" t="s">
        <v>111</v>
      </c>
      <c r="C31" s="7" t="s">
        <v>18</v>
      </c>
      <c r="D31" s="8" t="s">
        <v>131</v>
      </c>
      <c r="E31" s="8" t="s">
        <v>132</v>
      </c>
      <c r="F31" s="8" t="s">
        <v>133</v>
      </c>
      <c r="G31" s="7" t="s">
        <v>55</v>
      </c>
      <c r="H31" s="9"/>
      <c r="I31" s="9"/>
      <c r="J31" s="9">
        <v>2690</v>
      </c>
      <c r="K31" s="9">
        <v>2500</v>
      </c>
      <c r="L31" s="9"/>
      <c r="M31" s="9">
        <v>2690</v>
      </c>
      <c r="N31" s="9">
        <v>1990</v>
      </c>
      <c r="O31" s="10">
        <f t="shared" si="0"/>
        <v>0.26022304832713755</v>
      </c>
      <c r="P31" s="8" t="s">
        <v>56</v>
      </c>
      <c r="Q31" s="23" t="s">
        <v>30</v>
      </c>
      <c r="R31" s="25" t="s">
        <v>318</v>
      </c>
    </row>
    <row r="32" spans="1:18" s="2" customFormat="1" ht="60" x14ac:dyDescent="0.25">
      <c r="A32" s="3">
        <v>31</v>
      </c>
      <c r="B32" s="2" t="s">
        <v>111</v>
      </c>
      <c r="C32" s="3" t="s">
        <v>18</v>
      </c>
      <c r="D32" s="2" t="s">
        <v>134</v>
      </c>
      <c r="E32" s="2" t="s">
        <v>135</v>
      </c>
      <c r="F32" s="2" t="s">
        <v>136</v>
      </c>
      <c r="G32" s="3" t="s">
        <v>55</v>
      </c>
      <c r="H32" s="4"/>
      <c r="I32" s="4"/>
      <c r="J32" s="4">
        <v>2190</v>
      </c>
      <c r="K32" s="4">
        <v>2000</v>
      </c>
      <c r="L32" s="4"/>
      <c r="M32" s="4">
        <v>2190</v>
      </c>
      <c r="N32" s="4">
        <v>1690</v>
      </c>
      <c r="O32" s="5">
        <f t="shared" si="0"/>
        <v>0.22831050228310501</v>
      </c>
      <c r="P32" s="2" t="s">
        <v>56</v>
      </c>
      <c r="Q32" s="23" t="s">
        <v>30</v>
      </c>
      <c r="R32" s="27" t="s">
        <v>319</v>
      </c>
    </row>
    <row r="33" spans="1:18" s="2" customFormat="1" ht="45" x14ac:dyDescent="0.25">
      <c r="A33" s="7">
        <v>32</v>
      </c>
      <c r="B33" s="8" t="s">
        <v>111</v>
      </c>
      <c r="C33" s="7" t="s">
        <v>18</v>
      </c>
      <c r="D33" s="8" t="s">
        <v>137</v>
      </c>
      <c r="E33" s="8" t="s">
        <v>138</v>
      </c>
      <c r="F33" s="8" t="s">
        <v>139</v>
      </c>
      <c r="G33" s="7" t="s">
        <v>55</v>
      </c>
      <c r="H33" s="9"/>
      <c r="I33" s="9"/>
      <c r="J33" s="9">
        <v>5990</v>
      </c>
      <c r="K33" s="9">
        <v>5500</v>
      </c>
      <c r="L33" s="9"/>
      <c r="M33" s="9">
        <v>5990</v>
      </c>
      <c r="N33" s="9">
        <v>4490</v>
      </c>
      <c r="O33" s="10">
        <f t="shared" si="0"/>
        <v>0.25041736227045075</v>
      </c>
      <c r="P33" s="8" t="s">
        <v>56</v>
      </c>
      <c r="Q33" s="23" t="s">
        <v>30</v>
      </c>
      <c r="R33" s="25" t="s">
        <v>318</v>
      </c>
    </row>
    <row r="34" spans="1:18" s="2" customFormat="1" ht="45" x14ac:dyDescent="0.25">
      <c r="A34" s="3">
        <v>33</v>
      </c>
      <c r="B34" s="2" t="s">
        <v>111</v>
      </c>
      <c r="C34" s="3" t="s">
        <v>18</v>
      </c>
      <c r="D34" s="2" t="s">
        <v>140</v>
      </c>
      <c r="E34" s="2" t="s">
        <v>141</v>
      </c>
      <c r="F34" s="2" t="s">
        <v>142</v>
      </c>
      <c r="G34" s="3" t="s">
        <v>55</v>
      </c>
      <c r="H34" s="4"/>
      <c r="I34" s="4"/>
      <c r="J34" s="4">
        <v>4990</v>
      </c>
      <c r="K34" s="4">
        <v>4500</v>
      </c>
      <c r="L34" s="4"/>
      <c r="M34" s="4">
        <v>4990</v>
      </c>
      <c r="N34" s="4">
        <v>3790</v>
      </c>
      <c r="O34" s="5">
        <f t="shared" si="0"/>
        <v>0.24048096192384769</v>
      </c>
      <c r="P34" s="2" t="s">
        <v>56</v>
      </c>
      <c r="Q34" s="23" t="s">
        <v>30</v>
      </c>
      <c r="R34" s="25" t="s">
        <v>318</v>
      </c>
    </row>
    <row r="35" spans="1:18" s="2" customFormat="1" ht="45" x14ac:dyDescent="0.25">
      <c r="A35" s="7">
        <v>34</v>
      </c>
      <c r="B35" s="8" t="s">
        <v>111</v>
      </c>
      <c r="C35" s="7" t="s">
        <v>18</v>
      </c>
      <c r="D35" s="8" t="s">
        <v>143</v>
      </c>
      <c r="E35" s="8" t="s">
        <v>144</v>
      </c>
      <c r="F35" s="8" t="s">
        <v>145</v>
      </c>
      <c r="G35" s="7" t="s">
        <v>55</v>
      </c>
      <c r="H35" s="9"/>
      <c r="I35" s="9"/>
      <c r="J35" s="9">
        <v>9990</v>
      </c>
      <c r="K35" s="9">
        <v>8990</v>
      </c>
      <c r="L35" s="9"/>
      <c r="M35" s="9">
        <v>9990</v>
      </c>
      <c r="N35" s="9">
        <v>7490</v>
      </c>
      <c r="O35" s="10">
        <f t="shared" si="0"/>
        <v>0.25025025025025027</v>
      </c>
      <c r="P35" s="8" t="s">
        <v>56</v>
      </c>
      <c r="Q35" s="23" t="s">
        <v>30</v>
      </c>
      <c r="R35" s="27" t="s">
        <v>319</v>
      </c>
    </row>
    <row r="36" spans="1:18" s="2" customFormat="1" ht="45" x14ac:dyDescent="0.25">
      <c r="A36" s="3">
        <v>35</v>
      </c>
      <c r="B36" s="2" t="s">
        <v>111</v>
      </c>
      <c r="C36" s="3" t="s">
        <v>18</v>
      </c>
      <c r="D36" s="2" t="s">
        <v>146</v>
      </c>
      <c r="E36" s="2" t="s">
        <v>147</v>
      </c>
      <c r="F36" s="2" t="s">
        <v>148</v>
      </c>
      <c r="G36" s="3" t="s">
        <v>55</v>
      </c>
      <c r="H36" s="4"/>
      <c r="I36" s="4"/>
      <c r="J36" s="4">
        <v>4990</v>
      </c>
      <c r="K36" s="4">
        <v>4500</v>
      </c>
      <c r="L36" s="4"/>
      <c r="M36" s="4">
        <v>4990</v>
      </c>
      <c r="N36" s="4">
        <v>3790</v>
      </c>
      <c r="O36" s="5">
        <f t="shared" si="0"/>
        <v>0.24048096192384769</v>
      </c>
      <c r="P36" s="2" t="s">
        <v>56</v>
      </c>
      <c r="Q36" s="23" t="s">
        <v>30</v>
      </c>
      <c r="R36" s="27" t="s">
        <v>319</v>
      </c>
    </row>
    <row r="66" spans="17:18" x14ac:dyDescent="0.25">
      <c r="Q66" s="24" t="s">
        <v>314</v>
      </c>
      <c r="R66" s="26" t="s">
        <v>319</v>
      </c>
    </row>
    <row r="67" spans="17:18" x14ac:dyDescent="0.25">
      <c r="Q67" s="24" t="s">
        <v>310</v>
      </c>
      <c r="R67" s="26" t="s">
        <v>319</v>
      </c>
    </row>
    <row r="68" spans="17:18" x14ac:dyDescent="0.25">
      <c r="Q68" s="24" t="s">
        <v>313</v>
      </c>
      <c r="R68" s="26" t="s">
        <v>319</v>
      </c>
    </row>
    <row r="70" spans="17:18" x14ac:dyDescent="0.25">
      <c r="Q70" s="24" t="s">
        <v>315</v>
      </c>
      <c r="R70" s="26" t="s">
        <v>319</v>
      </c>
    </row>
    <row r="71" spans="17:18" x14ac:dyDescent="0.25">
      <c r="Q71" s="24" t="s">
        <v>316</v>
      </c>
      <c r="R71" s="26" t="s">
        <v>319</v>
      </c>
    </row>
    <row r="76" spans="17:18" x14ac:dyDescent="0.25">
      <c r="Q76" s="24" t="s">
        <v>311</v>
      </c>
      <c r="R76" s="26" t="s">
        <v>319</v>
      </c>
    </row>
    <row r="77" spans="17:18" x14ac:dyDescent="0.25">
      <c r="Q77" s="24" t="s">
        <v>312</v>
      </c>
      <c r="R77" s="26" t="s">
        <v>319</v>
      </c>
    </row>
    <row r="78" spans="17:18" x14ac:dyDescent="0.25">
      <c r="Q78" s="24" t="s">
        <v>313</v>
      </c>
      <c r="R78" s="26" t="s">
        <v>319</v>
      </c>
    </row>
    <row r="81" spans="17:18" x14ac:dyDescent="0.25">
      <c r="Q81" s="24" t="s">
        <v>311</v>
      </c>
      <c r="R81" s="26" t="s">
        <v>319</v>
      </c>
    </row>
    <row r="85" spans="17:18" x14ac:dyDescent="0.25">
      <c r="Q85" s="24" t="s">
        <v>317</v>
      </c>
      <c r="R85" s="26" t="s">
        <v>319</v>
      </c>
    </row>
    <row r="89" spans="17:18" x14ac:dyDescent="0.25">
      <c r="Q89" s="24" t="s">
        <v>308</v>
      </c>
      <c r="R89" s="26" t="s">
        <v>319</v>
      </c>
    </row>
    <row r="105" spans="17:18" x14ac:dyDescent="0.25">
      <c r="Q105" s="24" t="s">
        <v>309</v>
      </c>
      <c r="R105" s="26" t="s">
        <v>319</v>
      </c>
    </row>
  </sheetData>
  <hyperlinks>
    <hyperlink ref="Q2" r:id="rId1" tooltip="Abrir enlace del producto"/>
    <hyperlink ref="Q8" r:id="rId2" tooltip="Abrir enlace del producto"/>
    <hyperlink ref="Q89" r:id="rId3" tooltip="I"/>
    <hyperlink ref="Q77" r:id="rId4" tooltip="M"/>
    <hyperlink ref="Q68" r:id="rId5" tooltip="a"/>
    <hyperlink ref="Q66" r:id="rId6" tooltip="n"/>
    <hyperlink ref="Q70" r:id="rId7" tooltip="s"/>
    <hyperlink ref="Q71" r:id="rId8" tooltip="l"/>
    <hyperlink ref="Q81" r:id="rId9" tooltip="i"/>
    <hyperlink ref="Q78" r:id="rId10" tooltip="a"/>
    <hyperlink ref="Q85" r:id="rId11" tooltip="e"/>
    <hyperlink ref="Q76" r:id="rId12" tooltip="i"/>
    <hyperlink ref="Q67" r:id="rId13" tooltip="u"/>
    <hyperlink ref="Q105" r:id="rId14" tooltip="t"/>
  </hyperlinks>
  <pageMargins left="0.7" right="0.7" top="0.75" bottom="0.75" header="0.3" footer="0.3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baseColWidth="10" defaultRowHeight="15" x14ac:dyDescent="0.25"/>
  <cols>
    <col min="1" max="1" width="6.7109375" customWidth="1"/>
    <col min="2" max="2" width="18.7109375" customWidth="1"/>
    <col min="3" max="3" width="32.7109375" customWidth="1"/>
    <col min="4" max="4" width="22.7109375" customWidth="1"/>
    <col min="5" max="5" width="24.7109375" customWidth="1"/>
    <col min="6" max="7" width="16.7109375" customWidth="1"/>
    <col min="8" max="8" width="30.7109375" customWidth="1"/>
    <col min="9" max="9" width="22.7109375" customWidth="1"/>
    <col min="10" max="10" width="30.7109375" customWidth="1"/>
    <col min="11" max="11" width="45.7109375" customWidth="1"/>
  </cols>
  <sheetData>
    <row r="1" spans="1:11" s="2" customFormat="1" ht="30" customHeight="1" x14ac:dyDescent="0.25">
      <c r="A1" s="22" t="s">
        <v>0</v>
      </c>
      <c r="B1" s="22" t="s">
        <v>1</v>
      </c>
      <c r="C1" s="22" t="s">
        <v>3</v>
      </c>
      <c r="D1" s="22" t="s">
        <v>6</v>
      </c>
      <c r="E1" s="22" t="s">
        <v>246</v>
      </c>
      <c r="F1" s="22" t="s">
        <v>247</v>
      </c>
      <c r="G1" s="22" t="s">
        <v>248</v>
      </c>
      <c r="H1" s="22" t="s">
        <v>249</v>
      </c>
      <c r="I1" s="22" t="s">
        <v>250</v>
      </c>
      <c r="J1" s="22" t="s">
        <v>251</v>
      </c>
      <c r="K1" s="22" t="s">
        <v>252</v>
      </c>
    </row>
    <row r="2" spans="1:11" s="2" customFormat="1" ht="30" x14ac:dyDescent="0.25">
      <c r="A2" s="3">
        <v>1</v>
      </c>
      <c r="B2" s="2" t="s">
        <v>17</v>
      </c>
      <c r="C2" s="2" t="s">
        <v>19</v>
      </c>
      <c r="D2" s="3" t="s">
        <v>22</v>
      </c>
      <c r="E2" s="3" t="s">
        <v>253</v>
      </c>
      <c r="F2" s="4">
        <v>12990</v>
      </c>
      <c r="G2" s="4">
        <v>9990</v>
      </c>
      <c r="H2" s="6" t="s">
        <v>254</v>
      </c>
      <c r="I2" s="3" t="s">
        <v>255</v>
      </c>
      <c r="J2" s="6" t="s">
        <v>256</v>
      </c>
      <c r="K2" s="2" t="s">
        <v>257</v>
      </c>
    </row>
    <row r="3" spans="1:11" s="2" customFormat="1" ht="30" x14ac:dyDescent="0.25">
      <c r="A3" s="7">
        <v>2</v>
      </c>
      <c r="B3" s="8" t="s">
        <v>17</v>
      </c>
      <c r="C3" s="8" t="s">
        <v>25</v>
      </c>
      <c r="D3" s="7" t="s">
        <v>28</v>
      </c>
      <c r="E3" s="7" t="s">
        <v>258</v>
      </c>
      <c r="F3" s="9">
        <v>22990</v>
      </c>
      <c r="G3" s="9">
        <v>19990</v>
      </c>
      <c r="H3" s="11" t="s">
        <v>259</v>
      </c>
      <c r="I3" s="7" t="s">
        <v>253</v>
      </c>
      <c r="J3" s="11" t="s">
        <v>260</v>
      </c>
      <c r="K3" s="8" t="s">
        <v>261</v>
      </c>
    </row>
    <row r="4" spans="1:11" s="2" customFormat="1" ht="30" x14ac:dyDescent="0.25">
      <c r="A4" s="3">
        <v>3</v>
      </c>
      <c r="B4" s="2" t="s">
        <v>17</v>
      </c>
      <c r="C4" s="2" t="s">
        <v>31</v>
      </c>
      <c r="D4" s="3" t="s">
        <v>28</v>
      </c>
      <c r="E4" s="3" t="s">
        <v>258</v>
      </c>
      <c r="F4" s="4">
        <v>6990</v>
      </c>
      <c r="G4" s="4">
        <v>5990</v>
      </c>
      <c r="H4" s="6" t="s">
        <v>259</v>
      </c>
      <c r="I4" s="3" t="s">
        <v>253</v>
      </c>
      <c r="J4" s="6" t="s">
        <v>260</v>
      </c>
      <c r="K4" s="2" t="s">
        <v>262</v>
      </c>
    </row>
    <row r="5" spans="1:11" s="2" customFormat="1" ht="30" x14ac:dyDescent="0.25">
      <c r="A5" s="7">
        <v>4</v>
      </c>
      <c r="B5" s="8" t="s">
        <v>17</v>
      </c>
      <c r="C5" s="8" t="s">
        <v>263</v>
      </c>
      <c r="D5" s="7" t="s">
        <v>28</v>
      </c>
      <c r="E5" s="7" t="s">
        <v>258</v>
      </c>
      <c r="F5" s="9">
        <v>7990</v>
      </c>
      <c r="G5" s="9">
        <v>4990</v>
      </c>
      <c r="H5" s="11" t="s">
        <v>259</v>
      </c>
      <c r="I5" s="7" t="s">
        <v>264</v>
      </c>
      <c r="J5" s="11" t="s">
        <v>265</v>
      </c>
      <c r="K5" s="8" t="s">
        <v>266</v>
      </c>
    </row>
    <row r="6" spans="1:11" s="2" customFormat="1" ht="30" x14ac:dyDescent="0.25">
      <c r="A6" s="3">
        <v>5</v>
      </c>
      <c r="B6" s="2" t="s">
        <v>38</v>
      </c>
      <c r="C6" s="2" t="s">
        <v>39</v>
      </c>
      <c r="D6" s="3" t="s">
        <v>22</v>
      </c>
      <c r="E6" s="3" t="s">
        <v>258</v>
      </c>
      <c r="F6" s="4">
        <v>4490</v>
      </c>
      <c r="G6" s="4">
        <v>2870</v>
      </c>
      <c r="H6" s="6" t="s">
        <v>259</v>
      </c>
      <c r="I6" s="3" t="s">
        <v>264</v>
      </c>
      <c r="J6" s="6" t="s">
        <v>265</v>
      </c>
      <c r="K6" s="2" t="s">
        <v>267</v>
      </c>
    </row>
    <row r="7" spans="1:11" s="2" customFormat="1" ht="30" x14ac:dyDescent="0.25">
      <c r="A7" s="7">
        <v>6</v>
      </c>
      <c r="B7" s="8" t="s">
        <v>38</v>
      </c>
      <c r="C7" s="13" t="s">
        <v>44</v>
      </c>
      <c r="D7" s="12" t="s">
        <v>47</v>
      </c>
      <c r="E7" s="7" t="s">
        <v>258</v>
      </c>
      <c r="F7" s="9">
        <v>3490</v>
      </c>
      <c r="G7" s="9">
        <v>2990</v>
      </c>
      <c r="H7" s="11" t="s">
        <v>259</v>
      </c>
      <c r="I7" s="7" t="s">
        <v>253</v>
      </c>
      <c r="J7" s="11" t="s">
        <v>260</v>
      </c>
      <c r="K7" s="8" t="s">
        <v>268</v>
      </c>
    </row>
    <row r="8" spans="1:11" s="2" customFormat="1" ht="45" x14ac:dyDescent="0.25">
      <c r="A8" s="3">
        <v>7</v>
      </c>
      <c r="B8" s="2" t="s">
        <v>38</v>
      </c>
      <c r="C8" s="15" t="s">
        <v>269</v>
      </c>
      <c r="D8" s="14" t="s">
        <v>47</v>
      </c>
      <c r="E8" s="3" t="s">
        <v>253</v>
      </c>
      <c r="F8" s="4">
        <v>4990</v>
      </c>
      <c r="G8" s="4">
        <v>4290</v>
      </c>
      <c r="H8" s="6" t="s">
        <v>254</v>
      </c>
      <c r="I8" s="3" t="s">
        <v>258</v>
      </c>
      <c r="J8" s="6" t="s">
        <v>270</v>
      </c>
      <c r="K8" s="2" t="s">
        <v>271</v>
      </c>
    </row>
    <row r="9" spans="1:11" s="2" customFormat="1" ht="30" x14ac:dyDescent="0.25">
      <c r="A9" s="7">
        <v>8</v>
      </c>
      <c r="B9" s="8" t="s">
        <v>38</v>
      </c>
      <c r="C9" s="8" t="s">
        <v>52</v>
      </c>
      <c r="D9" s="7" t="s">
        <v>55</v>
      </c>
      <c r="E9" s="7" t="s">
        <v>258</v>
      </c>
      <c r="F9" s="9">
        <v>1490</v>
      </c>
      <c r="G9" s="9">
        <v>990</v>
      </c>
      <c r="H9" s="11" t="s">
        <v>259</v>
      </c>
      <c r="I9" s="7" t="s">
        <v>264</v>
      </c>
      <c r="J9" s="11" t="s">
        <v>265</v>
      </c>
      <c r="K9" s="8" t="s">
        <v>272</v>
      </c>
    </row>
    <row r="10" spans="1:11" s="2" customFormat="1" ht="45" x14ac:dyDescent="0.25">
      <c r="A10" s="3">
        <v>9</v>
      </c>
      <c r="B10" s="2" t="s">
        <v>38</v>
      </c>
      <c r="C10" s="2" t="s">
        <v>57</v>
      </c>
      <c r="D10" s="3" t="s">
        <v>55</v>
      </c>
      <c r="E10" s="3" t="s">
        <v>258</v>
      </c>
      <c r="F10" s="4">
        <v>1990</v>
      </c>
      <c r="G10" s="4">
        <v>1490</v>
      </c>
      <c r="H10" s="6" t="s">
        <v>259</v>
      </c>
      <c r="I10" s="3" t="s">
        <v>264</v>
      </c>
      <c r="J10" s="6" t="s">
        <v>265</v>
      </c>
      <c r="K10" s="2" t="s">
        <v>273</v>
      </c>
    </row>
    <row r="11" spans="1:11" s="2" customFormat="1" ht="30" x14ac:dyDescent="0.25">
      <c r="A11" s="7">
        <v>10</v>
      </c>
      <c r="B11" s="8" t="s">
        <v>60</v>
      </c>
      <c r="C11" s="8" t="s">
        <v>274</v>
      </c>
      <c r="D11" s="7" t="s">
        <v>22</v>
      </c>
      <c r="E11" s="7" t="s">
        <v>258</v>
      </c>
      <c r="F11" s="9">
        <v>5490</v>
      </c>
      <c r="G11" s="9">
        <v>3990</v>
      </c>
      <c r="H11" s="11" t="s">
        <v>259</v>
      </c>
      <c r="I11" s="7" t="s">
        <v>253</v>
      </c>
      <c r="J11" s="11" t="s">
        <v>260</v>
      </c>
      <c r="K11" s="8" t="s">
        <v>275</v>
      </c>
    </row>
    <row r="12" spans="1:11" s="2" customFormat="1" ht="30" x14ac:dyDescent="0.25">
      <c r="A12" s="3">
        <v>11</v>
      </c>
      <c r="B12" s="2" t="s">
        <v>60</v>
      </c>
      <c r="C12" s="2" t="s">
        <v>276</v>
      </c>
      <c r="D12" s="3" t="s">
        <v>55</v>
      </c>
      <c r="E12" s="3" t="s">
        <v>258</v>
      </c>
      <c r="F12" s="4">
        <v>8990</v>
      </c>
      <c r="G12" s="4">
        <v>6990</v>
      </c>
      <c r="H12" s="6" t="s">
        <v>259</v>
      </c>
      <c r="I12" s="3" t="s">
        <v>264</v>
      </c>
      <c r="J12" s="6" t="s">
        <v>265</v>
      </c>
      <c r="K12" s="2" t="s">
        <v>277</v>
      </c>
    </row>
    <row r="13" spans="1:11" s="2" customFormat="1" ht="30" x14ac:dyDescent="0.25">
      <c r="A13" s="7">
        <v>12</v>
      </c>
      <c r="B13" s="8" t="s">
        <v>67</v>
      </c>
      <c r="C13" s="8" t="s">
        <v>68</v>
      </c>
      <c r="D13" s="7" t="s">
        <v>55</v>
      </c>
      <c r="E13" s="7" t="s">
        <v>258</v>
      </c>
      <c r="F13" s="9">
        <v>1990</v>
      </c>
      <c r="G13" s="9">
        <v>1290</v>
      </c>
      <c r="H13" s="11" t="s">
        <v>259</v>
      </c>
      <c r="I13" s="7" t="s">
        <v>253</v>
      </c>
      <c r="J13" s="11" t="s">
        <v>260</v>
      </c>
      <c r="K13" s="8" t="s">
        <v>278</v>
      </c>
    </row>
    <row r="14" spans="1:11" s="2" customFormat="1" ht="30" x14ac:dyDescent="0.25">
      <c r="A14" s="3">
        <v>13</v>
      </c>
      <c r="B14" s="2" t="s">
        <v>71</v>
      </c>
      <c r="C14" s="2" t="s">
        <v>72</v>
      </c>
      <c r="D14" s="3" t="s">
        <v>55</v>
      </c>
      <c r="E14" s="3" t="s">
        <v>258</v>
      </c>
      <c r="F14" s="4">
        <v>990</v>
      </c>
      <c r="G14" s="4">
        <v>590</v>
      </c>
      <c r="H14" s="6" t="s">
        <v>259</v>
      </c>
      <c r="I14" s="3" t="s">
        <v>279</v>
      </c>
      <c r="J14" s="6" t="s">
        <v>280</v>
      </c>
      <c r="K14" s="2" t="s">
        <v>281</v>
      </c>
    </row>
    <row r="15" spans="1:11" s="2" customFormat="1" ht="45" x14ac:dyDescent="0.25">
      <c r="A15" s="7">
        <v>14</v>
      </c>
      <c r="B15" s="8" t="s">
        <v>76</v>
      </c>
      <c r="C15" s="8" t="s">
        <v>77</v>
      </c>
      <c r="D15" s="7" t="s">
        <v>55</v>
      </c>
      <c r="E15" s="7" t="s">
        <v>258</v>
      </c>
      <c r="F15" s="9">
        <v>1990</v>
      </c>
      <c r="G15" s="9">
        <v>1290</v>
      </c>
      <c r="H15" s="11" t="s">
        <v>259</v>
      </c>
      <c r="I15" s="7" t="s">
        <v>264</v>
      </c>
      <c r="J15" s="11" t="s">
        <v>265</v>
      </c>
      <c r="K15" s="8" t="s">
        <v>282</v>
      </c>
    </row>
    <row r="16" spans="1:11" s="2" customFormat="1" ht="30" x14ac:dyDescent="0.25">
      <c r="A16" s="3">
        <v>15</v>
      </c>
      <c r="B16" s="2" t="s">
        <v>76</v>
      </c>
      <c r="C16" s="2" t="s">
        <v>81</v>
      </c>
      <c r="D16" s="3" t="s">
        <v>28</v>
      </c>
      <c r="E16" s="3" t="s">
        <v>258</v>
      </c>
      <c r="F16" s="4">
        <v>1490</v>
      </c>
      <c r="G16" s="4">
        <v>990</v>
      </c>
      <c r="H16" s="6" t="s">
        <v>259</v>
      </c>
      <c r="I16" s="3" t="s">
        <v>264</v>
      </c>
      <c r="J16" s="6" t="s">
        <v>265</v>
      </c>
      <c r="K16" s="2" t="s">
        <v>283</v>
      </c>
    </row>
    <row r="17" spans="1:11" s="2" customFormat="1" ht="30" x14ac:dyDescent="0.25">
      <c r="A17" s="7">
        <v>16</v>
      </c>
      <c r="B17" s="8" t="s">
        <v>84</v>
      </c>
      <c r="C17" s="8" t="s">
        <v>85</v>
      </c>
      <c r="D17" s="7" t="s">
        <v>22</v>
      </c>
      <c r="E17" s="7" t="s">
        <v>258</v>
      </c>
      <c r="F17" s="9">
        <v>5990</v>
      </c>
      <c r="G17" s="9">
        <v>4490</v>
      </c>
      <c r="H17" s="11" t="s">
        <v>259</v>
      </c>
      <c r="I17" s="7" t="s">
        <v>264</v>
      </c>
      <c r="J17" s="11" t="s">
        <v>265</v>
      </c>
      <c r="K17" s="8" t="s">
        <v>284</v>
      </c>
    </row>
    <row r="18" spans="1:11" s="2" customFormat="1" ht="30" x14ac:dyDescent="0.25">
      <c r="A18" s="3">
        <v>17</v>
      </c>
      <c r="B18" s="2" t="s">
        <v>84</v>
      </c>
      <c r="C18" s="2" t="s">
        <v>88</v>
      </c>
      <c r="D18" s="3" t="s">
        <v>22</v>
      </c>
      <c r="E18" s="3" t="s">
        <v>258</v>
      </c>
      <c r="F18" s="4">
        <v>2990</v>
      </c>
      <c r="G18" s="4">
        <v>1990</v>
      </c>
      <c r="H18" s="6" t="s">
        <v>259</v>
      </c>
      <c r="I18" s="3" t="s">
        <v>285</v>
      </c>
      <c r="J18" s="6" t="s">
        <v>286</v>
      </c>
      <c r="K18" s="2" t="s">
        <v>287</v>
      </c>
    </row>
    <row r="19" spans="1:11" s="2" customFormat="1" ht="30" x14ac:dyDescent="0.25">
      <c r="A19" s="7">
        <v>18</v>
      </c>
      <c r="B19" s="8" t="s">
        <v>91</v>
      </c>
      <c r="C19" s="8" t="s">
        <v>92</v>
      </c>
      <c r="D19" s="7" t="s">
        <v>22</v>
      </c>
      <c r="E19" s="7" t="s">
        <v>253</v>
      </c>
      <c r="F19" s="9">
        <v>2990</v>
      </c>
      <c r="G19" s="9">
        <v>2490</v>
      </c>
      <c r="H19" s="11" t="s">
        <v>254</v>
      </c>
      <c r="I19" s="7" t="s">
        <v>258</v>
      </c>
      <c r="J19" s="11" t="s">
        <v>270</v>
      </c>
      <c r="K19" s="8" t="s">
        <v>288</v>
      </c>
    </row>
    <row r="20" spans="1:11" s="2" customFormat="1" ht="30" x14ac:dyDescent="0.25">
      <c r="A20" s="3">
        <v>19</v>
      </c>
      <c r="B20" s="2" t="s">
        <v>91</v>
      </c>
      <c r="C20" s="2" t="s">
        <v>95</v>
      </c>
      <c r="D20" s="3" t="s">
        <v>22</v>
      </c>
      <c r="E20" s="3" t="s">
        <v>258</v>
      </c>
      <c r="F20" s="4">
        <v>3790</v>
      </c>
      <c r="G20" s="4">
        <v>2890</v>
      </c>
      <c r="H20" s="6" t="s">
        <v>259</v>
      </c>
      <c r="I20" s="3" t="s">
        <v>264</v>
      </c>
      <c r="J20" s="6" t="s">
        <v>265</v>
      </c>
      <c r="K20" s="2" t="s">
        <v>289</v>
      </c>
    </row>
    <row r="21" spans="1:11" s="2" customFormat="1" ht="30" x14ac:dyDescent="0.25">
      <c r="A21" s="7">
        <v>20</v>
      </c>
      <c r="B21" s="8" t="s">
        <v>91</v>
      </c>
      <c r="C21" s="8" t="s">
        <v>98</v>
      </c>
      <c r="D21" s="7" t="s">
        <v>55</v>
      </c>
      <c r="E21" s="7" t="s">
        <v>258</v>
      </c>
      <c r="F21" s="9">
        <v>2490</v>
      </c>
      <c r="G21" s="9">
        <v>1590</v>
      </c>
      <c r="H21" s="11" t="s">
        <v>259</v>
      </c>
      <c r="I21" s="7" t="s">
        <v>285</v>
      </c>
      <c r="J21" s="11" t="s">
        <v>286</v>
      </c>
      <c r="K21" s="8" t="s">
        <v>290</v>
      </c>
    </row>
    <row r="22" spans="1:11" s="2" customFormat="1" ht="30" x14ac:dyDescent="0.25">
      <c r="A22" s="3">
        <v>21</v>
      </c>
      <c r="B22" s="2" t="s">
        <v>91</v>
      </c>
      <c r="C22" s="2" t="s">
        <v>101</v>
      </c>
      <c r="D22" s="3" t="s">
        <v>22</v>
      </c>
      <c r="E22" s="3" t="s">
        <v>258</v>
      </c>
      <c r="F22" s="4">
        <v>990</v>
      </c>
      <c r="G22" s="4">
        <v>490</v>
      </c>
      <c r="H22" s="6" t="s">
        <v>259</v>
      </c>
      <c r="I22" s="3" t="s">
        <v>285</v>
      </c>
      <c r="J22" s="6" t="s">
        <v>286</v>
      </c>
      <c r="K22" s="2" t="s">
        <v>291</v>
      </c>
    </row>
    <row r="23" spans="1:11" s="2" customFormat="1" ht="30" x14ac:dyDescent="0.25">
      <c r="A23" s="7">
        <v>22</v>
      </c>
      <c r="B23" s="8" t="s">
        <v>104</v>
      </c>
      <c r="C23" s="8" t="s">
        <v>105</v>
      </c>
      <c r="D23" s="7" t="s">
        <v>22</v>
      </c>
      <c r="E23" s="7" t="s">
        <v>258</v>
      </c>
      <c r="F23" s="9">
        <v>9190</v>
      </c>
      <c r="G23" s="9">
        <v>7990</v>
      </c>
      <c r="H23" s="11" t="s">
        <v>259</v>
      </c>
      <c r="I23" s="7" t="s">
        <v>264</v>
      </c>
      <c r="J23" s="11" t="s">
        <v>265</v>
      </c>
      <c r="K23" s="8" t="s">
        <v>292</v>
      </c>
    </row>
    <row r="24" spans="1:11" s="2" customFormat="1" ht="30" x14ac:dyDescent="0.25">
      <c r="A24" s="3">
        <v>23</v>
      </c>
      <c r="B24" s="2" t="s">
        <v>104</v>
      </c>
      <c r="C24" s="2" t="s">
        <v>108</v>
      </c>
      <c r="D24" s="3" t="s">
        <v>22</v>
      </c>
      <c r="E24" s="3" t="s">
        <v>258</v>
      </c>
      <c r="F24" s="4">
        <v>9490</v>
      </c>
      <c r="G24" s="4">
        <v>7990</v>
      </c>
      <c r="H24" s="6" t="s">
        <v>259</v>
      </c>
      <c r="I24" s="3" t="s">
        <v>264</v>
      </c>
      <c r="J24" s="6" t="s">
        <v>265</v>
      </c>
      <c r="K24" s="2" t="s">
        <v>293</v>
      </c>
    </row>
    <row r="25" spans="1:11" s="2" customFormat="1" ht="30" x14ac:dyDescent="0.25">
      <c r="A25" s="7">
        <v>24</v>
      </c>
      <c r="B25" s="8" t="s">
        <v>111</v>
      </c>
      <c r="C25" s="8" t="s">
        <v>294</v>
      </c>
      <c r="D25" s="7" t="s">
        <v>22</v>
      </c>
      <c r="E25" s="7" t="s">
        <v>258</v>
      </c>
      <c r="F25" s="9">
        <v>14900</v>
      </c>
      <c r="G25" s="9">
        <v>11990</v>
      </c>
      <c r="H25" s="11" t="s">
        <v>259</v>
      </c>
      <c r="I25" s="7" t="s">
        <v>264</v>
      </c>
      <c r="J25" s="11" t="s">
        <v>265</v>
      </c>
      <c r="K25" s="8" t="s">
        <v>295</v>
      </c>
    </row>
    <row r="26" spans="1:11" s="2" customFormat="1" ht="30" x14ac:dyDescent="0.25">
      <c r="A26" s="3">
        <v>25</v>
      </c>
      <c r="B26" s="2" t="s">
        <v>111</v>
      </c>
      <c r="C26" s="2" t="s">
        <v>115</v>
      </c>
      <c r="D26" s="3" t="s">
        <v>22</v>
      </c>
      <c r="E26" s="3" t="s">
        <v>258</v>
      </c>
      <c r="F26" s="4">
        <v>2890</v>
      </c>
      <c r="G26" s="4">
        <v>2190</v>
      </c>
      <c r="H26" s="6" t="s">
        <v>259</v>
      </c>
      <c r="I26" s="3" t="s">
        <v>279</v>
      </c>
      <c r="J26" s="6" t="s">
        <v>280</v>
      </c>
      <c r="K26" s="2" t="s">
        <v>296</v>
      </c>
    </row>
    <row r="27" spans="1:11" s="2" customFormat="1" ht="30" x14ac:dyDescent="0.25">
      <c r="A27" s="7">
        <v>26</v>
      </c>
      <c r="B27" s="8" t="s">
        <v>111</v>
      </c>
      <c r="C27" s="8" t="s">
        <v>119</v>
      </c>
      <c r="D27" s="7" t="s">
        <v>22</v>
      </c>
      <c r="E27" s="7" t="s">
        <v>258</v>
      </c>
      <c r="F27" s="9">
        <v>2990</v>
      </c>
      <c r="G27" s="9">
        <v>1990</v>
      </c>
      <c r="H27" s="11" t="s">
        <v>259</v>
      </c>
      <c r="I27" s="7" t="s">
        <v>264</v>
      </c>
      <c r="J27" s="11" t="s">
        <v>265</v>
      </c>
      <c r="K27" s="8" t="s">
        <v>297</v>
      </c>
    </row>
    <row r="28" spans="1:11" s="2" customFormat="1" ht="30" x14ac:dyDescent="0.25">
      <c r="A28" s="3">
        <v>27</v>
      </c>
      <c r="B28" s="2" t="s">
        <v>111</v>
      </c>
      <c r="C28" s="2" t="s">
        <v>298</v>
      </c>
      <c r="D28" s="3" t="s">
        <v>22</v>
      </c>
      <c r="E28" s="3" t="s">
        <v>258</v>
      </c>
      <c r="F28" s="4">
        <v>2990</v>
      </c>
      <c r="G28" s="4">
        <v>2290</v>
      </c>
      <c r="H28" s="6" t="s">
        <v>259</v>
      </c>
      <c r="I28" s="3" t="s">
        <v>264</v>
      </c>
      <c r="J28" s="6" t="s">
        <v>265</v>
      </c>
      <c r="K28" s="2" t="s">
        <v>299</v>
      </c>
    </row>
    <row r="29" spans="1:11" s="2" customFormat="1" ht="30" x14ac:dyDescent="0.25">
      <c r="A29" s="7">
        <v>28</v>
      </c>
      <c r="B29" s="8" t="s">
        <v>111</v>
      </c>
      <c r="C29" s="8" t="s">
        <v>125</v>
      </c>
      <c r="D29" s="7" t="s">
        <v>22</v>
      </c>
      <c r="E29" s="7" t="s">
        <v>258</v>
      </c>
      <c r="F29" s="9">
        <v>2490</v>
      </c>
      <c r="G29" s="9">
        <v>1790</v>
      </c>
      <c r="H29" s="11" t="s">
        <v>259</v>
      </c>
      <c r="I29" s="7" t="s">
        <v>264</v>
      </c>
      <c r="J29" s="11" t="s">
        <v>265</v>
      </c>
      <c r="K29" s="8" t="s">
        <v>300</v>
      </c>
    </row>
    <row r="30" spans="1:11" s="2" customFormat="1" ht="30" x14ac:dyDescent="0.25">
      <c r="A30" s="3">
        <v>29</v>
      </c>
      <c r="B30" s="2" t="s">
        <v>111</v>
      </c>
      <c r="C30" s="2" t="s">
        <v>128</v>
      </c>
      <c r="D30" s="3" t="s">
        <v>22</v>
      </c>
      <c r="E30" s="3" t="s">
        <v>258</v>
      </c>
      <c r="F30" s="4">
        <v>4490</v>
      </c>
      <c r="G30" s="4">
        <v>3490</v>
      </c>
      <c r="H30" s="6" t="s">
        <v>259</v>
      </c>
      <c r="I30" s="3" t="s">
        <v>264</v>
      </c>
      <c r="J30" s="6" t="s">
        <v>265</v>
      </c>
      <c r="K30" s="2" t="s">
        <v>301</v>
      </c>
    </row>
    <row r="31" spans="1:11" s="2" customFormat="1" ht="30" x14ac:dyDescent="0.25">
      <c r="A31" s="7">
        <v>30</v>
      </c>
      <c r="B31" s="8" t="s">
        <v>111</v>
      </c>
      <c r="C31" s="8" t="s">
        <v>131</v>
      </c>
      <c r="D31" s="7" t="s">
        <v>55</v>
      </c>
      <c r="E31" s="7" t="s">
        <v>258</v>
      </c>
      <c r="F31" s="9">
        <v>2690</v>
      </c>
      <c r="G31" s="9">
        <v>1990</v>
      </c>
      <c r="H31" s="11" t="s">
        <v>259</v>
      </c>
      <c r="I31" s="7" t="s">
        <v>264</v>
      </c>
      <c r="J31" s="11" t="s">
        <v>265</v>
      </c>
      <c r="K31" s="8" t="s">
        <v>302</v>
      </c>
    </row>
    <row r="32" spans="1:11" s="2" customFormat="1" ht="30" x14ac:dyDescent="0.25">
      <c r="A32" s="3">
        <v>31</v>
      </c>
      <c r="B32" s="2" t="s">
        <v>111</v>
      </c>
      <c r="C32" s="2" t="s">
        <v>134</v>
      </c>
      <c r="D32" s="3" t="s">
        <v>55</v>
      </c>
      <c r="E32" s="3" t="s">
        <v>258</v>
      </c>
      <c r="F32" s="4">
        <v>2190</v>
      </c>
      <c r="G32" s="4">
        <v>1690</v>
      </c>
      <c r="H32" s="6" t="s">
        <v>259</v>
      </c>
      <c r="I32" s="3" t="s">
        <v>264</v>
      </c>
      <c r="J32" s="6" t="s">
        <v>265</v>
      </c>
      <c r="K32" s="2" t="s">
        <v>303</v>
      </c>
    </row>
    <row r="33" spans="1:11" s="2" customFormat="1" ht="30" x14ac:dyDescent="0.25">
      <c r="A33" s="7">
        <v>32</v>
      </c>
      <c r="B33" s="8" t="s">
        <v>111</v>
      </c>
      <c r="C33" s="8" t="s">
        <v>137</v>
      </c>
      <c r="D33" s="7" t="s">
        <v>55</v>
      </c>
      <c r="E33" s="7" t="s">
        <v>258</v>
      </c>
      <c r="F33" s="9">
        <v>5990</v>
      </c>
      <c r="G33" s="9">
        <v>4490</v>
      </c>
      <c r="H33" s="11" t="s">
        <v>259</v>
      </c>
      <c r="I33" s="7" t="s">
        <v>264</v>
      </c>
      <c r="J33" s="11" t="s">
        <v>265</v>
      </c>
      <c r="K33" s="8" t="s">
        <v>304</v>
      </c>
    </row>
    <row r="34" spans="1:11" s="2" customFormat="1" ht="30" x14ac:dyDescent="0.25">
      <c r="A34" s="3">
        <v>33</v>
      </c>
      <c r="B34" s="2" t="s">
        <v>111</v>
      </c>
      <c r="C34" s="2" t="s">
        <v>140</v>
      </c>
      <c r="D34" s="3" t="s">
        <v>55</v>
      </c>
      <c r="E34" s="3" t="s">
        <v>258</v>
      </c>
      <c r="F34" s="4">
        <v>4990</v>
      </c>
      <c r="G34" s="4">
        <v>3790</v>
      </c>
      <c r="H34" s="6" t="s">
        <v>259</v>
      </c>
      <c r="I34" s="3" t="s">
        <v>264</v>
      </c>
      <c r="J34" s="6" t="s">
        <v>265</v>
      </c>
      <c r="K34" s="2" t="s">
        <v>305</v>
      </c>
    </row>
    <row r="35" spans="1:11" s="2" customFormat="1" ht="30" x14ac:dyDescent="0.25">
      <c r="A35" s="7">
        <v>34</v>
      </c>
      <c r="B35" s="8" t="s">
        <v>111</v>
      </c>
      <c r="C35" s="8" t="s">
        <v>143</v>
      </c>
      <c r="D35" s="7" t="s">
        <v>55</v>
      </c>
      <c r="E35" s="7" t="s">
        <v>258</v>
      </c>
      <c r="F35" s="9">
        <v>9990</v>
      </c>
      <c r="G35" s="9">
        <v>7490</v>
      </c>
      <c r="H35" s="11" t="s">
        <v>259</v>
      </c>
      <c r="I35" s="7" t="s">
        <v>255</v>
      </c>
      <c r="J35" s="11" t="s">
        <v>256</v>
      </c>
      <c r="K35" s="8" t="s">
        <v>306</v>
      </c>
    </row>
    <row r="36" spans="1:11" s="2" customFormat="1" ht="30" x14ac:dyDescent="0.25">
      <c r="A36" s="3">
        <v>35</v>
      </c>
      <c r="B36" s="2" t="s">
        <v>111</v>
      </c>
      <c r="C36" s="2" t="s">
        <v>146</v>
      </c>
      <c r="D36" s="3" t="s">
        <v>55</v>
      </c>
      <c r="E36" s="3" t="s">
        <v>258</v>
      </c>
      <c r="F36" s="4">
        <v>4990</v>
      </c>
      <c r="G36" s="4">
        <v>3790</v>
      </c>
      <c r="H36" s="6" t="s">
        <v>259</v>
      </c>
      <c r="I36" s="3" t="s">
        <v>264</v>
      </c>
      <c r="J36" s="6" t="s">
        <v>265</v>
      </c>
      <c r="K36" s="2" t="s">
        <v>307</v>
      </c>
    </row>
  </sheetData>
  <hyperlinks>
    <hyperlink ref="H2" r:id="rId1" tooltip="Ir a la tienda principal"/>
    <hyperlink ref="J2" r:id="rId2" tooltip="Ir a la tienda alternativa"/>
    <hyperlink ref="H3" r:id="rId3" tooltip="Ir a la tienda principal"/>
    <hyperlink ref="J3" r:id="rId4" tooltip="Ir a la tienda alternativa"/>
    <hyperlink ref="H4" r:id="rId5" tooltip="Ir a la tienda principal"/>
    <hyperlink ref="J4" r:id="rId6" tooltip="Ir a la tienda alternativa"/>
    <hyperlink ref="H5" r:id="rId7" tooltip="Ir a la tienda principal"/>
    <hyperlink ref="J5" r:id="rId8" tooltip="Ir a la tienda alternativa"/>
    <hyperlink ref="H6" r:id="rId9" tooltip="Ir a la tienda principal"/>
    <hyperlink ref="J6" r:id="rId10" tooltip="Ir a la tienda alternativa"/>
    <hyperlink ref="H7" r:id="rId11" tooltip="Ir a la tienda principal"/>
    <hyperlink ref="J7" r:id="rId12" tooltip="Ir a la tienda alternativa"/>
    <hyperlink ref="H8" r:id="rId13" tooltip="Ir a la tienda principal"/>
    <hyperlink ref="J8" r:id="rId14" tooltip="Ir a la tienda alternativa"/>
    <hyperlink ref="H9" r:id="rId15" tooltip="Ir a la tienda principal"/>
    <hyperlink ref="J9" r:id="rId16" tooltip="Ir a la tienda alternativa"/>
    <hyperlink ref="H10" r:id="rId17" tooltip="Ir a la tienda principal"/>
    <hyperlink ref="J10" r:id="rId18" tooltip="Ir a la tienda alternativa"/>
    <hyperlink ref="H11" r:id="rId19" tooltip="Ir a la tienda principal"/>
    <hyperlink ref="J11" r:id="rId20" tooltip="Ir a la tienda alternativa"/>
    <hyperlink ref="H12" r:id="rId21" tooltip="Ir a la tienda principal"/>
    <hyperlink ref="J12" r:id="rId22" tooltip="Ir a la tienda alternativa"/>
    <hyperlink ref="H13" r:id="rId23" tooltip="Ir a la tienda principal"/>
    <hyperlink ref="J13" r:id="rId24" tooltip="Ir a la tienda alternativa"/>
    <hyperlink ref="H14" r:id="rId25" tooltip="Ir a la tienda principal"/>
    <hyperlink ref="J14" r:id="rId26" tooltip="Ir a la tienda alternativa"/>
    <hyperlink ref="H15" r:id="rId27" tooltip="Ir a la tienda principal"/>
    <hyperlink ref="J15" r:id="rId28" tooltip="Ir a la tienda alternativa"/>
    <hyperlink ref="H16" r:id="rId29" tooltip="Ir a la tienda principal"/>
    <hyperlink ref="J16" r:id="rId30" tooltip="Ir a la tienda alternativa"/>
    <hyperlink ref="H17" r:id="rId31" tooltip="Ir a la tienda principal"/>
    <hyperlink ref="J17" r:id="rId32" tooltip="Ir a la tienda alternativa"/>
    <hyperlink ref="H18" r:id="rId33" tooltip="Ir a la tienda principal"/>
    <hyperlink ref="J18" r:id="rId34" tooltip="Ir a la tienda alternativa"/>
    <hyperlink ref="H19" r:id="rId35" tooltip="Ir a la tienda principal"/>
    <hyperlink ref="J19" r:id="rId36" tooltip="Ir a la tienda alternativa"/>
    <hyperlink ref="H20" r:id="rId37" tooltip="Ir a la tienda principal"/>
    <hyperlink ref="J20" r:id="rId38" tooltip="Ir a la tienda alternativa"/>
    <hyperlink ref="H21" r:id="rId39" tooltip="Ir a la tienda principal"/>
    <hyperlink ref="J21" r:id="rId40" tooltip="Ir a la tienda alternativa"/>
    <hyperlink ref="H22" r:id="rId41" tooltip="Ir a la tienda principal"/>
    <hyperlink ref="J22" r:id="rId42" tooltip="Ir a la tienda alternativa"/>
    <hyperlink ref="H23" r:id="rId43" tooltip="Ir a la tienda principal"/>
    <hyperlink ref="J23" r:id="rId44" tooltip="Ir a la tienda alternativa"/>
    <hyperlink ref="H24" r:id="rId45" tooltip="Ir a la tienda principal"/>
    <hyperlink ref="J24" r:id="rId46" tooltip="Ir a la tienda alternativa"/>
    <hyperlink ref="H25" r:id="rId47" tooltip="Ir a la tienda principal"/>
    <hyperlink ref="J25" r:id="rId48" tooltip="Ir a la tienda alternativa"/>
    <hyperlink ref="H26" r:id="rId49" tooltip="Ir a la tienda principal"/>
    <hyperlink ref="J26" r:id="rId50" tooltip="Ir a la tienda alternativa"/>
    <hyperlink ref="H27" r:id="rId51" tooltip="Ir a la tienda principal"/>
    <hyperlink ref="J27" r:id="rId52" tooltip="Ir a la tienda alternativa"/>
    <hyperlink ref="H28" r:id="rId53" tooltip="Ir a la tienda principal"/>
    <hyperlink ref="J28" r:id="rId54" tooltip="Ir a la tienda alternativa"/>
    <hyperlink ref="H29" r:id="rId55" tooltip="Ir a la tienda principal"/>
    <hyperlink ref="J29" r:id="rId56" tooltip="Ir a la tienda alternativa"/>
    <hyperlink ref="H30" r:id="rId57" tooltip="Ir a la tienda principal"/>
    <hyperlink ref="J30" r:id="rId58" tooltip="Ir a la tienda alternativa"/>
    <hyperlink ref="H31" r:id="rId59" tooltip="Ir a la tienda principal"/>
    <hyperlink ref="J31" r:id="rId60" tooltip="Ir a la tienda alternativa"/>
    <hyperlink ref="H32" r:id="rId61" tooltip="Ir a la tienda principal"/>
    <hyperlink ref="J32" r:id="rId62" tooltip="Ir a la tienda alternativa"/>
    <hyperlink ref="H33" r:id="rId63" tooltip="Ir a la tienda principal"/>
    <hyperlink ref="J33" r:id="rId64" tooltip="Ir a la tienda alternativa"/>
    <hyperlink ref="H34" r:id="rId65" tooltip="Ir a la tienda principal"/>
    <hyperlink ref="J34" r:id="rId66" tooltip="Ir a la tienda alternativa"/>
    <hyperlink ref="H35" r:id="rId67" tooltip="Ir a la tienda principal"/>
    <hyperlink ref="J35" r:id="rId68" tooltip="Ir a la tienda alternativa"/>
    <hyperlink ref="H36" r:id="rId69" tooltip="Ir a la tienda principal"/>
    <hyperlink ref="J36" r:id="rId70" tooltip="Ir a la tienda alternativa"/>
  </hyperlinks>
  <pageMargins left="0.7" right="0.7" top="0.75" bottom="0.75" header="0.3" footer="0.3"/>
  <pageSetup paperSize="9" orientation="portrait" r:id="rId7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baseColWidth="10" defaultRowHeight="15" x14ac:dyDescent="0.25"/>
  <cols>
    <col min="1" max="1" width="6.7109375" customWidth="1"/>
    <col min="2" max="2" width="24.7109375" customWidth="1"/>
    <col min="3" max="3" width="26.7109375" customWidth="1"/>
    <col min="4" max="4" width="28.7109375" customWidth="1"/>
    <col min="5" max="6" width="40.7109375" customWidth="1"/>
    <col min="7" max="7" width="38.7109375" customWidth="1"/>
    <col min="8" max="8" width="22.7109375" customWidth="1"/>
    <col min="9" max="9" width="32.7109375" customWidth="1"/>
    <col min="10" max="10" width="26.7109375" customWidth="1"/>
  </cols>
  <sheetData>
    <row r="1" spans="1:10" s="2" customFormat="1" ht="30" customHeight="1" x14ac:dyDescent="0.25">
      <c r="A1" s="16" t="s">
        <v>0</v>
      </c>
      <c r="B1" s="16" t="s">
        <v>149</v>
      </c>
      <c r="C1" s="16" t="s">
        <v>150</v>
      </c>
      <c r="D1" s="16" t="s">
        <v>151</v>
      </c>
      <c r="E1" s="16" t="s">
        <v>152</v>
      </c>
      <c r="F1" s="16" t="s">
        <v>153</v>
      </c>
      <c r="G1" s="16" t="s">
        <v>154</v>
      </c>
      <c r="H1" s="16" t="s">
        <v>155</v>
      </c>
      <c r="I1" s="16" t="s">
        <v>156</v>
      </c>
      <c r="J1" s="16" t="s">
        <v>157</v>
      </c>
    </row>
    <row r="2" spans="1:10" s="2" customFormat="1" ht="75" x14ac:dyDescent="0.25">
      <c r="A2" s="3">
        <v>1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6" t="s">
        <v>166</v>
      </c>
    </row>
    <row r="3" spans="1:10" s="2" customFormat="1" ht="60" x14ac:dyDescent="0.25">
      <c r="A3" s="7">
        <v>2</v>
      </c>
      <c r="B3" s="8" t="s">
        <v>167</v>
      </c>
      <c r="C3" s="8" t="s">
        <v>168</v>
      </c>
      <c r="D3" s="8" t="s">
        <v>169</v>
      </c>
      <c r="E3" s="8" t="s">
        <v>170</v>
      </c>
      <c r="F3" s="8" t="s">
        <v>171</v>
      </c>
      <c r="G3" s="8" t="s">
        <v>172</v>
      </c>
      <c r="H3" s="8" t="s">
        <v>173</v>
      </c>
      <c r="I3" s="8" t="s">
        <v>174</v>
      </c>
      <c r="J3" s="11" t="s">
        <v>175</v>
      </c>
    </row>
    <row r="4" spans="1:10" s="2" customFormat="1" ht="60" x14ac:dyDescent="0.25">
      <c r="A4" s="3">
        <v>3</v>
      </c>
      <c r="B4" s="2" t="s">
        <v>176</v>
      </c>
      <c r="C4" s="2" t="s">
        <v>177</v>
      </c>
      <c r="D4" s="2" t="s">
        <v>178</v>
      </c>
      <c r="E4" s="2" t="s">
        <v>179</v>
      </c>
      <c r="F4" s="2" t="s">
        <v>180</v>
      </c>
      <c r="G4" s="2" t="s">
        <v>181</v>
      </c>
      <c r="H4" s="2" t="s">
        <v>182</v>
      </c>
      <c r="I4" s="2" t="s">
        <v>183</v>
      </c>
      <c r="J4" s="6" t="s">
        <v>184</v>
      </c>
    </row>
    <row r="5" spans="1:10" s="2" customFormat="1" ht="60" x14ac:dyDescent="0.25">
      <c r="A5" s="7">
        <v>4</v>
      </c>
      <c r="B5" s="8" t="s">
        <v>185</v>
      </c>
      <c r="C5" s="8" t="s">
        <v>186</v>
      </c>
      <c r="D5" s="8" t="s">
        <v>187</v>
      </c>
      <c r="E5" s="8" t="s">
        <v>188</v>
      </c>
      <c r="F5" s="8" t="s">
        <v>189</v>
      </c>
      <c r="G5" s="8" t="s">
        <v>190</v>
      </c>
      <c r="H5" s="8" t="s">
        <v>191</v>
      </c>
      <c r="I5" s="8" t="s">
        <v>192</v>
      </c>
      <c r="J5" s="11" t="s">
        <v>193</v>
      </c>
    </row>
    <row r="6" spans="1:10" s="2" customFormat="1" ht="60" x14ac:dyDescent="0.25">
      <c r="A6" s="3">
        <v>5</v>
      </c>
      <c r="B6" s="2" t="s">
        <v>194</v>
      </c>
      <c r="C6" s="2" t="s">
        <v>195</v>
      </c>
      <c r="D6" s="2" t="s">
        <v>196</v>
      </c>
      <c r="E6" s="2" t="s">
        <v>197</v>
      </c>
      <c r="F6" s="2" t="s">
        <v>198</v>
      </c>
      <c r="G6" s="2" t="s">
        <v>199</v>
      </c>
      <c r="H6" s="2" t="s">
        <v>191</v>
      </c>
      <c r="I6" s="2" t="s">
        <v>200</v>
      </c>
      <c r="J6" s="6" t="s">
        <v>201</v>
      </c>
    </row>
    <row r="7" spans="1:10" s="2" customFormat="1" ht="60" x14ac:dyDescent="0.25">
      <c r="A7" s="7">
        <v>6</v>
      </c>
      <c r="B7" s="8" t="s">
        <v>202</v>
      </c>
      <c r="C7" s="8" t="s">
        <v>203</v>
      </c>
      <c r="D7" s="8" t="s">
        <v>204</v>
      </c>
      <c r="E7" s="8" t="s">
        <v>205</v>
      </c>
      <c r="F7" s="8" t="s">
        <v>206</v>
      </c>
      <c r="G7" s="8" t="s">
        <v>207</v>
      </c>
      <c r="H7" s="8" t="s">
        <v>208</v>
      </c>
      <c r="I7" s="8" t="s">
        <v>209</v>
      </c>
      <c r="J7" s="11" t="s">
        <v>210</v>
      </c>
    </row>
    <row r="8" spans="1:10" s="2" customFormat="1" ht="60" x14ac:dyDescent="0.25">
      <c r="A8" s="3">
        <v>7</v>
      </c>
      <c r="B8" s="2" t="s">
        <v>211</v>
      </c>
      <c r="C8" s="2" t="s">
        <v>212</v>
      </c>
      <c r="D8" s="2" t="s">
        <v>213</v>
      </c>
      <c r="E8" s="2" t="s">
        <v>214</v>
      </c>
      <c r="F8" s="2" t="s">
        <v>215</v>
      </c>
      <c r="G8" s="2" t="s">
        <v>216</v>
      </c>
      <c r="H8" s="2" t="s">
        <v>217</v>
      </c>
      <c r="I8" s="2" t="s">
        <v>218</v>
      </c>
      <c r="J8" s="6" t="s">
        <v>219</v>
      </c>
    </row>
  </sheetData>
  <hyperlinks>
    <hyperlink ref="J2" r:id="rId1" tooltip="Abrir enlace de compra"/>
    <hyperlink ref="J3" r:id="rId2" tooltip="Abrir enlace de compra"/>
    <hyperlink ref="J4" r:id="rId3" tooltip="Abrir enlace de compra"/>
    <hyperlink ref="J5" r:id="rId4" tooltip="Abrir enlace de compra"/>
    <hyperlink ref="J6" r:id="rId5" tooltip="Abrir enlace de compra"/>
    <hyperlink ref="J7" r:id="rId6" tooltip="Abrir enlace de compra"/>
    <hyperlink ref="J8" r:id="rId7" tooltip="Abrir enlace de compra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baseColWidth="10" defaultRowHeight="15" x14ac:dyDescent="0.25"/>
  <cols>
    <col min="1" max="1" width="30.7109375" customWidth="1"/>
    <col min="2" max="2" width="42.7109375" customWidth="1"/>
    <col min="3" max="3" width="26.7109375" customWidth="1"/>
    <col min="4" max="5" width="18.7109375" customWidth="1"/>
    <col min="6" max="7" width="16.7109375" customWidth="1"/>
    <col min="8" max="8" width="18.7109375" customWidth="1"/>
    <col min="9" max="9" width="40.7109375" customWidth="1"/>
  </cols>
  <sheetData>
    <row r="1" spans="1:9" ht="17.25" x14ac:dyDescent="0.3">
      <c r="A1" s="17" t="s">
        <v>220</v>
      </c>
    </row>
    <row r="2" spans="1:9" x14ac:dyDescent="0.25">
      <c r="A2" s="18" t="s">
        <v>221</v>
      </c>
    </row>
    <row r="4" spans="1:9" s="2" customFormat="1" ht="26.1" customHeight="1" x14ac:dyDescent="0.25">
      <c r="A4" s="19" t="s">
        <v>222</v>
      </c>
      <c r="B4" s="19" t="s">
        <v>223</v>
      </c>
      <c r="C4" s="19" t="s">
        <v>224</v>
      </c>
      <c r="D4" s="19" t="s">
        <v>225</v>
      </c>
      <c r="E4" s="19" t="s">
        <v>226</v>
      </c>
      <c r="F4" s="19" t="s">
        <v>227</v>
      </c>
      <c r="G4" s="19" t="s">
        <v>228</v>
      </c>
      <c r="H4" s="19" t="s">
        <v>229</v>
      </c>
      <c r="I4" s="19" t="s">
        <v>230</v>
      </c>
    </row>
    <row r="5" spans="1:9" s="2" customFormat="1" ht="60" x14ac:dyDescent="0.25">
      <c r="A5" s="2" t="s">
        <v>231</v>
      </c>
      <c r="B5" s="2" t="s">
        <v>232</v>
      </c>
      <c r="C5" s="2" t="s">
        <v>233</v>
      </c>
      <c r="D5" s="20">
        <v>78400</v>
      </c>
      <c r="E5" s="20">
        <v>62900</v>
      </c>
      <c r="F5" s="20">
        <v>15500</v>
      </c>
      <c r="G5" s="20">
        <v>7000</v>
      </c>
      <c r="H5" s="20">
        <v>69900</v>
      </c>
      <c r="I5" s="2" t="s">
        <v>234</v>
      </c>
    </row>
    <row r="6" spans="1:9" s="2" customFormat="1" ht="60" x14ac:dyDescent="0.25">
      <c r="A6" s="8" t="s">
        <v>235</v>
      </c>
      <c r="B6" s="8" t="s">
        <v>236</v>
      </c>
      <c r="C6" s="8" t="s">
        <v>237</v>
      </c>
      <c r="D6" s="21">
        <v>92600</v>
      </c>
      <c r="E6" s="21">
        <v>74500</v>
      </c>
      <c r="F6" s="21">
        <v>18100</v>
      </c>
      <c r="G6" s="21">
        <v>3990</v>
      </c>
      <c r="H6" s="21">
        <v>78490</v>
      </c>
      <c r="I6" s="8" t="s">
        <v>238</v>
      </c>
    </row>
    <row r="7" spans="1:9" s="2" customFormat="1" ht="60" x14ac:dyDescent="0.25">
      <c r="A7" s="2" t="s">
        <v>239</v>
      </c>
      <c r="B7" s="2" t="s">
        <v>240</v>
      </c>
      <c r="C7" s="2" t="s">
        <v>241</v>
      </c>
      <c r="D7" s="20">
        <v>104500</v>
      </c>
      <c r="E7" s="20">
        <v>84900</v>
      </c>
      <c r="F7" s="20">
        <v>19600</v>
      </c>
      <c r="G7" s="20">
        <v>7500</v>
      </c>
      <c r="H7" s="20">
        <v>92400</v>
      </c>
      <c r="I7" s="2" t="s">
        <v>242</v>
      </c>
    </row>
    <row r="8" spans="1:9" s="2" customFormat="1" ht="60" x14ac:dyDescent="0.25">
      <c r="A8" s="8" t="s">
        <v>243</v>
      </c>
      <c r="B8" s="8" t="s">
        <v>244</v>
      </c>
      <c r="C8" s="8" t="s">
        <v>241</v>
      </c>
      <c r="D8" s="21">
        <v>152000</v>
      </c>
      <c r="E8" s="21">
        <v>126900</v>
      </c>
      <c r="F8" s="21">
        <v>25100</v>
      </c>
      <c r="G8" s="21">
        <v>7500</v>
      </c>
      <c r="H8" s="21">
        <v>134400</v>
      </c>
      <c r="I8" s="8" t="s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tabSelected="1" workbookViewId="0">
      <selection sqref="A1:H1"/>
    </sheetView>
  </sheetViews>
  <sheetFormatPr baseColWidth="10" defaultRowHeight="15" x14ac:dyDescent="0.25"/>
  <cols>
    <col min="1" max="1" width="27.7109375" bestFit="1" customWidth="1"/>
    <col min="2" max="2" width="16.28515625" bestFit="1" customWidth="1"/>
    <col min="3" max="3" width="21" bestFit="1" customWidth="1"/>
    <col min="4" max="4" width="15.7109375" bestFit="1" customWidth="1"/>
    <col min="5" max="5" width="20.140625" bestFit="1" customWidth="1"/>
    <col min="6" max="6" width="9.140625" bestFit="1" customWidth="1"/>
    <col min="7" max="7" width="10.7109375" bestFit="1" customWidth="1"/>
  </cols>
  <sheetData>
    <row r="1" spans="1:8" ht="17.25" x14ac:dyDescent="0.3">
      <c r="A1" s="35" t="s">
        <v>320</v>
      </c>
      <c r="B1" s="35"/>
      <c r="C1" s="35"/>
      <c r="D1" s="35"/>
      <c r="E1" s="35"/>
      <c r="F1" s="35"/>
      <c r="G1" s="35"/>
      <c r="H1" s="35"/>
    </row>
    <row r="3" spans="1:8" x14ac:dyDescent="0.25">
      <c r="A3" s="36" t="s">
        <v>321</v>
      </c>
      <c r="B3" s="36"/>
      <c r="C3" s="36"/>
    </row>
    <row r="4" spans="1:8" x14ac:dyDescent="0.25">
      <c r="A4" s="29" t="s">
        <v>322</v>
      </c>
      <c r="B4" s="29" t="s">
        <v>323</v>
      </c>
      <c r="C4" s="29" t="s">
        <v>324</v>
      </c>
    </row>
    <row r="5" spans="1:8" x14ac:dyDescent="0.25">
      <c r="B5" s="30"/>
    </row>
    <row r="6" spans="1:8" x14ac:dyDescent="0.25">
      <c r="B6" s="30"/>
    </row>
    <row r="7" spans="1:8" x14ac:dyDescent="0.25">
      <c r="B7" s="30"/>
    </row>
    <row r="8" spans="1:8" x14ac:dyDescent="0.25">
      <c r="B8" s="30"/>
    </row>
    <row r="9" spans="1:8" x14ac:dyDescent="0.25">
      <c r="B9" s="30"/>
    </row>
    <row r="10" spans="1:8" x14ac:dyDescent="0.25">
      <c r="B10" s="30"/>
    </row>
    <row r="11" spans="1:8" x14ac:dyDescent="0.25">
      <c r="B11" s="30"/>
    </row>
    <row r="12" spans="1:8" x14ac:dyDescent="0.25">
      <c r="B12" s="30"/>
    </row>
    <row r="13" spans="1:8" x14ac:dyDescent="0.25">
      <c r="B13" s="30"/>
    </row>
    <row r="14" spans="1:8" x14ac:dyDescent="0.25">
      <c r="B14" s="30"/>
    </row>
    <row r="15" spans="1:8" x14ac:dyDescent="0.25">
      <c r="B15" s="30"/>
    </row>
    <row r="16" spans="1:8" x14ac:dyDescent="0.25">
      <c r="B16" s="30"/>
    </row>
    <row r="18" spans="1:4" x14ac:dyDescent="0.25">
      <c r="A18" s="36" t="s">
        <v>325</v>
      </c>
      <c r="B18" s="36"/>
      <c r="C18" s="36"/>
      <c r="D18" s="36"/>
    </row>
    <row r="19" spans="1:4" x14ac:dyDescent="0.25">
      <c r="A19" s="31" t="s">
        <v>326</v>
      </c>
      <c r="B19" s="31" t="s">
        <v>327</v>
      </c>
      <c r="C19" s="31" t="s">
        <v>324</v>
      </c>
      <c r="D19" s="31" t="s">
        <v>328</v>
      </c>
    </row>
    <row r="20" spans="1:4" x14ac:dyDescent="0.25">
      <c r="C20" s="32"/>
    </row>
    <row r="21" spans="1:4" x14ac:dyDescent="0.25">
      <c r="C21" s="32"/>
    </row>
    <row r="22" spans="1:4" x14ac:dyDescent="0.25">
      <c r="C22" s="32"/>
    </row>
    <row r="23" spans="1:4" x14ac:dyDescent="0.25">
      <c r="C23" s="32"/>
    </row>
    <row r="24" spans="1:4" x14ac:dyDescent="0.25">
      <c r="C24" s="32"/>
    </row>
    <row r="25" spans="1:4" x14ac:dyDescent="0.25">
      <c r="C25" s="32"/>
    </row>
    <row r="26" spans="1:4" x14ac:dyDescent="0.25">
      <c r="C26" s="32"/>
    </row>
    <row r="27" spans="1:4" x14ac:dyDescent="0.25">
      <c r="C27" s="32"/>
    </row>
    <row r="28" spans="1:4" x14ac:dyDescent="0.25">
      <c r="C28" s="32"/>
    </row>
    <row r="29" spans="1:4" x14ac:dyDescent="0.25">
      <c r="C29" s="32"/>
    </row>
    <row r="30" spans="1:4" x14ac:dyDescent="0.25">
      <c r="C30" s="32"/>
    </row>
    <row r="31" spans="1:4" x14ac:dyDescent="0.25">
      <c r="C31" s="32"/>
    </row>
    <row r="33" spans="1:8" x14ac:dyDescent="0.25">
      <c r="A33" s="36" t="s">
        <v>329</v>
      </c>
      <c r="B33" s="36"/>
      <c r="C33" s="36"/>
      <c r="D33" s="36"/>
      <c r="E33" s="36"/>
      <c r="F33" s="36"/>
      <c r="G33" s="36"/>
      <c r="H33" s="36"/>
    </row>
    <row r="34" spans="1:8" x14ac:dyDescent="0.25">
      <c r="A34" s="31" t="s">
        <v>0</v>
      </c>
      <c r="B34" s="31" t="s">
        <v>330</v>
      </c>
      <c r="C34" s="31" t="s">
        <v>331</v>
      </c>
      <c r="D34" s="31" t="s">
        <v>332</v>
      </c>
      <c r="E34" s="31" t="s">
        <v>333</v>
      </c>
      <c r="F34" s="31" t="s">
        <v>6</v>
      </c>
      <c r="G34" s="31" t="s">
        <v>334</v>
      </c>
    </row>
    <row r="35" spans="1:8" x14ac:dyDescent="0.25">
      <c r="A35" s="33"/>
      <c r="B35" s="33"/>
      <c r="C35" s="33"/>
      <c r="D35" s="33"/>
      <c r="E35" s="33"/>
      <c r="F35" s="33"/>
      <c r="G35" s="33"/>
    </row>
    <row r="36" spans="1:8" x14ac:dyDescent="0.25">
      <c r="A36" s="33"/>
      <c r="B36" s="33"/>
      <c r="C36" s="33"/>
      <c r="D36" s="33"/>
      <c r="E36" s="33"/>
      <c r="F36" s="33"/>
      <c r="G36" s="33"/>
    </row>
    <row r="37" spans="1:8" x14ac:dyDescent="0.25">
      <c r="A37" s="33"/>
      <c r="B37" s="33"/>
      <c r="C37" s="33"/>
      <c r="D37" s="33"/>
      <c r="E37" s="33"/>
      <c r="F37" s="33"/>
      <c r="G37" s="33"/>
    </row>
    <row r="38" spans="1:8" x14ac:dyDescent="0.25">
      <c r="A38" s="33"/>
      <c r="B38" s="33"/>
      <c r="C38" s="33"/>
      <c r="D38" s="33"/>
      <c r="E38" s="33"/>
      <c r="F38" s="33"/>
      <c r="G38" s="33"/>
    </row>
    <row r="39" spans="1:8" x14ac:dyDescent="0.25">
      <c r="A39" s="33"/>
      <c r="B39" s="33"/>
      <c r="C39" s="33"/>
      <c r="D39" s="33"/>
      <c r="E39" s="33"/>
      <c r="F39" s="33"/>
      <c r="G39" s="33"/>
    </row>
    <row r="40" spans="1:8" x14ac:dyDescent="0.25">
      <c r="A40" s="33"/>
      <c r="B40" s="33"/>
      <c r="C40" s="33"/>
      <c r="D40" s="33"/>
      <c r="E40" s="33"/>
      <c r="F40" s="33"/>
      <c r="G40" s="33"/>
    </row>
    <row r="41" spans="1:8" x14ac:dyDescent="0.25">
      <c r="A41" s="33"/>
      <c r="B41" s="33"/>
      <c r="C41" s="33"/>
      <c r="D41" s="33"/>
      <c r="E41" s="33"/>
      <c r="F41" s="33"/>
      <c r="G41" s="33"/>
    </row>
    <row r="42" spans="1:8" x14ac:dyDescent="0.25">
      <c r="A42" s="33"/>
      <c r="B42" s="33"/>
      <c r="C42" s="33"/>
      <c r="D42" s="33"/>
      <c r="E42" s="33"/>
      <c r="F42" s="33"/>
      <c r="G42" s="33"/>
    </row>
    <row r="43" spans="1:8" x14ac:dyDescent="0.25">
      <c r="A43" s="33"/>
      <c r="B43" s="33"/>
      <c r="C43" s="33"/>
      <c r="D43" s="33"/>
      <c r="E43" s="33"/>
      <c r="F43" s="33"/>
      <c r="G43" s="33"/>
    </row>
    <row r="44" spans="1:8" x14ac:dyDescent="0.25">
      <c r="A44" s="33"/>
      <c r="B44" s="33"/>
      <c r="C44" s="33"/>
      <c r="D44" s="33"/>
      <c r="E44" s="33"/>
      <c r="F44" s="33"/>
      <c r="G44" s="33"/>
    </row>
    <row r="45" spans="1:8" x14ac:dyDescent="0.25">
      <c r="A45" s="33"/>
      <c r="B45" s="33"/>
      <c r="C45" s="33"/>
      <c r="D45" s="33"/>
      <c r="E45" s="33"/>
      <c r="F45" s="33"/>
      <c r="G45" s="33"/>
    </row>
    <row r="46" spans="1:8" x14ac:dyDescent="0.25">
      <c r="A46" s="33"/>
      <c r="B46" s="33"/>
      <c r="C46" s="33"/>
      <c r="D46" s="33"/>
      <c r="E46" s="33"/>
      <c r="F46" s="33"/>
      <c r="G46" s="33"/>
    </row>
    <row r="47" spans="1:8" x14ac:dyDescent="0.25">
      <c r="A47" s="33"/>
      <c r="B47" s="33"/>
      <c r="C47" s="33"/>
      <c r="D47" s="33"/>
      <c r="E47" s="33"/>
      <c r="F47" s="33"/>
      <c r="G47" s="33"/>
    </row>
    <row r="48" spans="1:8" x14ac:dyDescent="0.25">
      <c r="A48" s="33"/>
      <c r="B48" s="33"/>
      <c r="C48" s="33"/>
      <c r="D48" s="33"/>
      <c r="E48" s="33"/>
      <c r="F48" s="33"/>
      <c r="G48" s="33"/>
    </row>
    <row r="49" spans="1:7" x14ac:dyDescent="0.25">
      <c r="A49" s="33"/>
      <c r="B49" s="33"/>
      <c r="C49" s="33"/>
      <c r="D49" s="33"/>
      <c r="E49" s="33"/>
      <c r="F49" s="33"/>
      <c r="G49" s="33"/>
    </row>
    <row r="50" spans="1:7" x14ac:dyDescent="0.25">
      <c r="A50" s="33"/>
      <c r="B50" s="33"/>
      <c r="C50" s="33"/>
      <c r="D50" s="33"/>
      <c r="E50" s="33"/>
      <c r="F50" s="33"/>
      <c r="G50" s="33"/>
    </row>
    <row r="51" spans="1:7" x14ac:dyDescent="0.25">
      <c r="A51" s="33"/>
      <c r="B51" s="33"/>
      <c r="C51" s="33"/>
      <c r="D51" s="33"/>
      <c r="E51" s="33"/>
      <c r="F51" s="33"/>
      <c r="G51" s="33"/>
    </row>
    <row r="52" spans="1:7" x14ac:dyDescent="0.25">
      <c r="A52" s="33"/>
      <c r="B52" s="33"/>
      <c r="C52" s="33"/>
      <c r="D52" s="33"/>
      <c r="E52" s="33"/>
      <c r="F52" s="33"/>
      <c r="G52" s="33"/>
    </row>
    <row r="53" spans="1:7" x14ac:dyDescent="0.25">
      <c r="A53" s="33"/>
      <c r="B53" s="33"/>
      <c r="C53" s="33"/>
      <c r="D53" s="33"/>
      <c r="E53" s="33"/>
      <c r="F53" s="33"/>
      <c r="G53" s="33"/>
    </row>
    <row r="54" spans="1:7" x14ac:dyDescent="0.25">
      <c r="A54" s="33"/>
      <c r="B54" s="33"/>
      <c r="C54" s="33"/>
      <c r="D54" s="33"/>
      <c r="E54" s="33"/>
      <c r="F54" s="33"/>
      <c r="G54" s="33"/>
    </row>
    <row r="55" spans="1:7" x14ac:dyDescent="0.25">
      <c r="A55" s="33"/>
      <c r="B55" s="33"/>
      <c r="C55" s="33"/>
      <c r="D55" s="33"/>
      <c r="E55" s="33"/>
      <c r="F55" s="33"/>
      <c r="G55" s="33"/>
    </row>
    <row r="56" spans="1:7" x14ac:dyDescent="0.25">
      <c r="A56" s="33"/>
      <c r="B56" s="33"/>
      <c r="C56" s="33"/>
      <c r="D56" s="33"/>
      <c r="E56" s="33"/>
      <c r="F56" s="33"/>
      <c r="G56" s="33"/>
    </row>
    <row r="57" spans="1:7" x14ac:dyDescent="0.25">
      <c r="A57" s="33"/>
      <c r="B57" s="33"/>
      <c r="C57" s="33"/>
      <c r="D57" s="33"/>
      <c r="E57" s="33"/>
      <c r="F57" s="33"/>
      <c r="G57" s="33"/>
    </row>
    <row r="58" spans="1:7" x14ac:dyDescent="0.25">
      <c r="A58" s="33"/>
      <c r="B58" s="33"/>
      <c r="C58" s="33"/>
      <c r="D58" s="33"/>
      <c r="E58" s="33"/>
      <c r="F58" s="33"/>
      <c r="G58" s="33"/>
    </row>
    <row r="59" spans="1:7" x14ac:dyDescent="0.25">
      <c r="A59" s="33"/>
      <c r="B59" s="33"/>
      <c r="C59" s="33"/>
      <c r="D59" s="33"/>
      <c r="E59" s="33"/>
      <c r="F59" s="33"/>
      <c r="G59" s="33"/>
    </row>
    <row r="60" spans="1:7" x14ac:dyDescent="0.25">
      <c r="A60" s="33"/>
      <c r="B60" s="33"/>
      <c r="C60" s="33"/>
      <c r="D60" s="33"/>
      <c r="E60" s="33"/>
      <c r="F60" s="33"/>
      <c r="G60" s="33"/>
    </row>
    <row r="61" spans="1:7" x14ac:dyDescent="0.25">
      <c r="A61" s="33"/>
      <c r="B61" s="33"/>
      <c r="C61" s="33"/>
      <c r="D61" s="33"/>
      <c r="E61" s="33"/>
      <c r="F61" s="33"/>
      <c r="G61" s="33"/>
    </row>
    <row r="62" spans="1:7" x14ac:dyDescent="0.25">
      <c r="A62" s="33"/>
      <c r="B62" s="33"/>
      <c r="C62" s="33"/>
      <c r="D62" s="33"/>
      <c r="E62" s="33"/>
      <c r="F62" s="33"/>
      <c r="G62" s="33"/>
    </row>
    <row r="63" spans="1:7" x14ac:dyDescent="0.25">
      <c r="A63" s="33"/>
      <c r="B63" s="33"/>
      <c r="C63" s="33"/>
      <c r="D63" s="33"/>
      <c r="E63" s="33"/>
      <c r="F63" s="33"/>
      <c r="G63" s="33"/>
    </row>
    <row r="64" spans="1:7" x14ac:dyDescent="0.25">
      <c r="A64" s="33"/>
      <c r="B64" s="33"/>
      <c r="C64" s="33"/>
      <c r="D64" s="33"/>
      <c r="E64" s="33"/>
      <c r="F64" s="33"/>
      <c r="G64" s="33"/>
    </row>
    <row r="65" spans="1:7" x14ac:dyDescent="0.25">
      <c r="A65" s="33"/>
      <c r="B65" s="33"/>
      <c r="C65" s="33"/>
      <c r="D65" s="33"/>
      <c r="E65" s="33"/>
      <c r="F65" s="33"/>
      <c r="G65" s="33"/>
    </row>
    <row r="66" spans="1:7" x14ac:dyDescent="0.25">
      <c r="A66" s="33"/>
      <c r="B66" s="33"/>
      <c r="C66" s="33"/>
      <c r="D66" s="33"/>
      <c r="E66" s="33"/>
      <c r="F66" s="33"/>
      <c r="G66" s="33"/>
    </row>
    <row r="67" spans="1:7" x14ac:dyDescent="0.25">
      <c r="A67" s="33"/>
      <c r="B67" s="33"/>
      <c r="C67" s="33"/>
      <c r="D67" s="33"/>
      <c r="E67" s="33"/>
      <c r="F67" s="33"/>
      <c r="G67" s="33"/>
    </row>
    <row r="68" spans="1:7" x14ac:dyDescent="0.25">
      <c r="A68" s="33"/>
      <c r="B68" s="33"/>
      <c r="C68" s="33"/>
      <c r="D68" s="33"/>
      <c r="E68" s="33"/>
      <c r="F68" s="33"/>
      <c r="G68" s="33"/>
    </row>
    <row r="69" spans="1:7" x14ac:dyDescent="0.25">
      <c r="A69" s="33"/>
      <c r="B69" s="33"/>
      <c r="C69" s="33"/>
      <c r="D69" s="33"/>
      <c r="E69" s="33"/>
      <c r="F69" s="33"/>
      <c r="G69" s="33"/>
    </row>
    <row r="70" spans="1:7" x14ac:dyDescent="0.25">
      <c r="A70" s="33"/>
      <c r="B70" s="33"/>
      <c r="C70" s="33"/>
      <c r="D70" s="33"/>
      <c r="E70" s="33"/>
      <c r="F70" s="33"/>
      <c r="G70" s="33"/>
    </row>
    <row r="71" spans="1:7" x14ac:dyDescent="0.25">
      <c r="A71" s="33"/>
      <c r="B71" s="33"/>
      <c r="C71" s="33"/>
      <c r="D71" s="33"/>
      <c r="E71" s="33"/>
      <c r="F71" s="33"/>
      <c r="G71" s="33"/>
    </row>
    <row r="72" spans="1:7" x14ac:dyDescent="0.25">
      <c r="A72" s="33"/>
      <c r="B72" s="33"/>
      <c r="C72" s="33"/>
      <c r="D72" s="33"/>
      <c r="E72" s="33"/>
      <c r="F72" s="33"/>
      <c r="G72" s="33"/>
    </row>
    <row r="73" spans="1:7" x14ac:dyDescent="0.25">
      <c r="A73" s="33"/>
      <c r="B73" s="33"/>
      <c r="C73" s="33"/>
      <c r="D73" s="33"/>
      <c r="E73" s="33"/>
      <c r="F73" s="33"/>
      <c r="G73" s="33"/>
    </row>
    <row r="74" spans="1:7" x14ac:dyDescent="0.25">
      <c r="A74" s="33"/>
      <c r="B74" s="33"/>
      <c r="C74" s="33"/>
      <c r="D74" s="33"/>
      <c r="E74" s="33"/>
      <c r="F74" s="33"/>
      <c r="G74" s="33"/>
    </row>
    <row r="75" spans="1:7" x14ac:dyDescent="0.25">
      <c r="A75" s="33"/>
      <c r="B75" s="33"/>
      <c r="C75" s="33"/>
      <c r="D75" s="33"/>
      <c r="E75" s="33"/>
      <c r="F75" s="33"/>
      <c r="G75" s="33"/>
    </row>
    <row r="76" spans="1:7" x14ac:dyDescent="0.25">
      <c r="A76" s="33"/>
      <c r="B76" s="33"/>
      <c r="C76" s="33"/>
      <c r="D76" s="33"/>
      <c r="E76" s="33"/>
      <c r="F76" s="33"/>
      <c r="G76" s="33"/>
    </row>
    <row r="77" spans="1:7" x14ac:dyDescent="0.25">
      <c r="A77" s="33"/>
      <c r="B77" s="33"/>
      <c r="C77" s="33"/>
      <c r="D77" s="33"/>
      <c r="E77" s="33"/>
      <c r="F77" s="33"/>
      <c r="G77" s="33"/>
    </row>
    <row r="78" spans="1:7" x14ac:dyDescent="0.25">
      <c r="A78" s="33"/>
      <c r="B78" s="33"/>
      <c r="C78" s="33"/>
      <c r="D78" s="33"/>
      <c r="E78" s="33"/>
      <c r="F78" s="33"/>
      <c r="G78" s="33"/>
    </row>
    <row r="79" spans="1:7" x14ac:dyDescent="0.25">
      <c r="A79" s="33"/>
      <c r="B79" s="33"/>
      <c r="C79" s="33"/>
      <c r="D79" s="33"/>
      <c r="E79" s="33"/>
      <c r="F79" s="33"/>
      <c r="G79" s="33"/>
    </row>
    <row r="80" spans="1:7" x14ac:dyDescent="0.25">
      <c r="A80" s="33"/>
      <c r="B80" s="33"/>
      <c r="C80" s="33"/>
      <c r="D80" s="33"/>
      <c r="E80" s="33"/>
      <c r="F80" s="33"/>
      <c r="G80" s="33"/>
    </row>
    <row r="81" spans="1:7" x14ac:dyDescent="0.25">
      <c r="A81" s="33"/>
      <c r="B81" s="33"/>
      <c r="C81" s="33"/>
      <c r="D81" s="33"/>
      <c r="E81" s="33"/>
      <c r="F81" s="33"/>
      <c r="G81" s="33"/>
    </row>
    <row r="82" spans="1:7" x14ac:dyDescent="0.25">
      <c r="A82" s="33"/>
      <c r="B82" s="33"/>
      <c r="C82" s="33"/>
      <c r="D82" s="33"/>
      <c r="E82" s="33"/>
      <c r="F82" s="33"/>
      <c r="G82" s="33"/>
    </row>
    <row r="83" spans="1:7" x14ac:dyDescent="0.25">
      <c r="A83" s="33"/>
      <c r="B83" s="33"/>
      <c r="C83" s="33"/>
      <c r="D83" s="33"/>
      <c r="E83" s="33"/>
      <c r="F83" s="33"/>
      <c r="G83" s="33"/>
    </row>
    <row r="84" spans="1:7" x14ac:dyDescent="0.25">
      <c r="A84" s="33"/>
      <c r="B84" s="33"/>
      <c r="C84" s="33"/>
      <c r="D84" s="33"/>
      <c r="E84" s="33"/>
      <c r="F84" s="33"/>
      <c r="G84" s="33"/>
    </row>
    <row r="85" spans="1:7" x14ac:dyDescent="0.25">
      <c r="A85" s="33"/>
      <c r="B85" s="33"/>
      <c r="C85" s="33"/>
      <c r="D85" s="33"/>
      <c r="E85" s="33"/>
      <c r="F85" s="33"/>
      <c r="G85" s="33"/>
    </row>
    <row r="86" spans="1:7" x14ac:dyDescent="0.25">
      <c r="A86" s="33"/>
      <c r="B86" s="33"/>
      <c r="C86" s="33"/>
      <c r="D86" s="33"/>
      <c r="E86" s="33"/>
      <c r="F86" s="33"/>
      <c r="G86" s="33"/>
    </row>
    <row r="87" spans="1:7" x14ac:dyDescent="0.25">
      <c r="A87" s="33"/>
      <c r="B87" s="33"/>
      <c r="C87" s="33"/>
      <c r="D87" s="33"/>
      <c r="E87" s="33"/>
      <c r="F87" s="33"/>
      <c r="G87" s="33"/>
    </row>
    <row r="88" spans="1:7" x14ac:dyDescent="0.25">
      <c r="A88" s="33"/>
      <c r="B88" s="33"/>
      <c r="C88" s="33"/>
      <c r="D88" s="33"/>
      <c r="E88" s="33"/>
      <c r="F88" s="33"/>
      <c r="G88" s="33"/>
    </row>
    <row r="89" spans="1:7" x14ac:dyDescent="0.25">
      <c r="A89" s="33"/>
      <c r="B89" s="33"/>
      <c r="C89" s="33"/>
      <c r="D89" s="33"/>
      <c r="E89" s="33"/>
      <c r="F89" s="33"/>
      <c r="G89" s="33"/>
    </row>
    <row r="90" spans="1:7" x14ac:dyDescent="0.25">
      <c r="A90" s="33"/>
      <c r="B90" s="33"/>
      <c r="C90" s="33"/>
      <c r="D90" s="33"/>
      <c r="E90" s="33"/>
      <c r="F90" s="33"/>
      <c r="G90" s="33"/>
    </row>
    <row r="91" spans="1:7" x14ac:dyDescent="0.25">
      <c r="A91" s="33"/>
      <c r="B91" s="33"/>
      <c r="C91" s="33"/>
      <c r="D91" s="33"/>
      <c r="E91" s="33"/>
      <c r="F91" s="33"/>
      <c r="G91" s="33"/>
    </row>
    <row r="92" spans="1:7" x14ac:dyDescent="0.25">
      <c r="A92" s="33"/>
      <c r="B92" s="33"/>
      <c r="C92" s="33"/>
      <c r="D92" s="33"/>
      <c r="E92" s="33"/>
      <c r="F92" s="33"/>
      <c r="G92" s="33"/>
    </row>
    <row r="93" spans="1:7" x14ac:dyDescent="0.25">
      <c r="A93" s="33"/>
      <c r="B93" s="33"/>
      <c r="C93" s="33"/>
      <c r="D93" s="33"/>
      <c r="E93" s="33"/>
      <c r="F93" s="33"/>
      <c r="G93" s="33"/>
    </row>
    <row r="94" spans="1:7" x14ac:dyDescent="0.25">
      <c r="A94" s="33"/>
      <c r="B94" s="33"/>
      <c r="C94" s="33"/>
      <c r="D94" s="33"/>
      <c r="E94" s="33"/>
      <c r="F94" s="33"/>
      <c r="G94" s="33"/>
    </row>
    <row r="95" spans="1:7" x14ac:dyDescent="0.25">
      <c r="A95" s="33"/>
      <c r="B95" s="33"/>
      <c r="C95" s="33"/>
      <c r="D95" s="33"/>
      <c r="E95" s="33"/>
      <c r="F95" s="33"/>
      <c r="G95" s="33"/>
    </row>
    <row r="96" spans="1:7" x14ac:dyDescent="0.25">
      <c r="A96" s="33"/>
      <c r="B96" s="33"/>
      <c r="C96" s="33"/>
      <c r="D96" s="33"/>
      <c r="E96" s="33"/>
      <c r="F96" s="33"/>
      <c r="G96" s="33"/>
    </row>
    <row r="97" spans="1:7" x14ac:dyDescent="0.25">
      <c r="A97" s="33"/>
      <c r="B97" s="33"/>
      <c r="C97" s="33"/>
      <c r="D97" s="33"/>
      <c r="E97" s="33"/>
      <c r="F97" s="33"/>
      <c r="G97" s="33"/>
    </row>
    <row r="98" spans="1:7" x14ac:dyDescent="0.25">
      <c r="A98" s="33"/>
      <c r="B98" s="33"/>
      <c r="C98" s="33"/>
      <c r="D98" s="33"/>
      <c r="E98" s="33"/>
      <c r="F98" s="33"/>
      <c r="G98" s="33"/>
    </row>
    <row r="99" spans="1:7" x14ac:dyDescent="0.25">
      <c r="A99" s="33"/>
      <c r="B99" s="33"/>
      <c r="C99" s="33"/>
      <c r="D99" s="33"/>
      <c r="E99" s="33"/>
      <c r="F99" s="33"/>
      <c r="G99" s="33"/>
    </row>
    <row r="100" spans="1:7" x14ac:dyDescent="0.25">
      <c r="A100" s="33"/>
      <c r="B100" s="33"/>
      <c r="C100" s="33"/>
      <c r="D100" s="33"/>
      <c r="E100" s="33"/>
      <c r="F100" s="33"/>
      <c r="G100" s="33"/>
    </row>
    <row r="101" spans="1:7" x14ac:dyDescent="0.25">
      <c r="A101" s="33"/>
      <c r="B101" s="33"/>
      <c r="C101" s="33"/>
      <c r="D101" s="33"/>
      <c r="E101" s="33"/>
      <c r="F101" s="33"/>
      <c r="G101" s="33"/>
    </row>
    <row r="102" spans="1:7" x14ac:dyDescent="0.25">
      <c r="A102" s="33"/>
      <c r="B102" s="33"/>
      <c r="C102" s="33"/>
      <c r="D102" s="33"/>
      <c r="E102" s="33"/>
      <c r="F102" s="33"/>
      <c r="G102" s="33"/>
    </row>
    <row r="103" spans="1:7" x14ac:dyDescent="0.25">
      <c r="A103" s="33"/>
      <c r="B103" s="33"/>
      <c r="C103" s="33"/>
      <c r="D103" s="33"/>
      <c r="E103" s="33"/>
      <c r="F103" s="33"/>
      <c r="G103" s="33"/>
    </row>
    <row r="104" spans="1:7" x14ac:dyDescent="0.25">
      <c r="A104" s="33"/>
      <c r="B104" s="33"/>
      <c r="C104" s="33"/>
      <c r="D104" s="33"/>
      <c r="E104" s="33"/>
      <c r="F104" s="33"/>
      <c r="G104" s="33"/>
    </row>
    <row r="106" spans="1:7" x14ac:dyDescent="0.25">
      <c r="A106" s="36" t="s">
        <v>338</v>
      </c>
      <c r="B106" s="36"/>
      <c r="C106" s="36"/>
      <c r="D106" s="36"/>
      <c r="E106" s="36"/>
    </row>
    <row r="107" spans="1:7" x14ac:dyDescent="0.25">
      <c r="A107" s="34" t="s">
        <v>339</v>
      </c>
      <c r="B107" s="34" t="s">
        <v>335</v>
      </c>
      <c r="C107" s="34" t="s">
        <v>336</v>
      </c>
      <c r="D107" s="34" t="s">
        <v>337</v>
      </c>
      <c r="E107" s="34" t="s">
        <v>340</v>
      </c>
    </row>
    <row r="108" spans="1:7" x14ac:dyDescent="0.25">
      <c r="A108" t="s">
        <v>341</v>
      </c>
      <c r="B108" s="37">
        <v>74000</v>
      </c>
      <c r="C108" s="37">
        <v>17950</v>
      </c>
      <c r="D108" s="37">
        <v>0</v>
      </c>
      <c r="E108" s="38">
        <v>92000</v>
      </c>
    </row>
    <row r="109" spans="1:7" x14ac:dyDescent="0.25">
      <c r="A109" t="s">
        <v>342</v>
      </c>
      <c r="B109" s="37">
        <v>92400</v>
      </c>
      <c r="C109" s="37">
        <v>17950</v>
      </c>
      <c r="D109" s="37">
        <v>11490</v>
      </c>
      <c r="E109" s="38">
        <v>122000</v>
      </c>
    </row>
    <row r="111" spans="1:7" x14ac:dyDescent="0.25">
      <c r="E111" s="28"/>
    </row>
    <row r="112" spans="1:7" x14ac:dyDescent="0.25">
      <c r="E112" s="28"/>
    </row>
    <row r="113" spans="5:5" x14ac:dyDescent="0.25">
      <c r="E113" s="28"/>
    </row>
    <row r="114" spans="5:5" x14ac:dyDescent="0.25">
      <c r="E114" s="28"/>
    </row>
    <row r="115" spans="5:5" x14ac:dyDescent="0.25">
      <c r="E115" s="28"/>
    </row>
    <row r="116" spans="5:5" x14ac:dyDescent="0.25">
      <c r="E116" s="28"/>
    </row>
    <row r="117" spans="5:5" x14ac:dyDescent="0.25">
      <c r="E117" s="28"/>
    </row>
  </sheetData>
  <mergeCells count="5">
    <mergeCell ref="A1:H1"/>
    <mergeCell ref="A3:C3"/>
    <mergeCell ref="A18:D18"/>
    <mergeCell ref="A33:H33"/>
    <mergeCell ref="A106:E10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Matriz_Principal</vt:lpstr>
      <vt:lpstr>Enlaces_Compras_Recomendadas</vt:lpstr>
      <vt:lpstr>Comparativa_Mejoras</vt:lpstr>
      <vt:lpstr>Canasta_Cyber_Optimizada</vt:lpstr>
      <vt:lpstr>Analisis_Faltantes_v1.1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Rodriguez</dc:creator>
  <cp:lastModifiedBy>Jorge Rodriguez</cp:lastModifiedBy>
  <dcterms:created xsi:type="dcterms:W3CDTF">2026-10-06T03:20:12Z</dcterms:created>
  <dcterms:modified xsi:type="dcterms:W3CDTF">2026-10-06T17:44:19Z</dcterms:modified>
</cp:coreProperties>
</file>